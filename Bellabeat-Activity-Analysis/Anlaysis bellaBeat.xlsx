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tony\Downloads\Data Analysis Projects and Portfolios\Projects\BellaBeat\"/>
    </mc:Choice>
  </mc:AlternateContent>
  <xr:revisionPtr revIDLastSave="0" documentId="13_ncr:1_{8BC3244D-F654-4C1D-ADAF-F6B2089072E5}" xr6:coauthVersionLast="47" xr6:coauthVersionMax="47" xr10:uidLastSave="{00000000-0000-0000-0000-000000000000}"/>
  <bookViews>
    <workbookView xWindow="-108" yWindow="-108" windowWidth="23256" windowHeight="12456" xr2:uid="{6A5038E2-6D4D-4B79-B583-4D8F59A9EBB5}"/>
  </bookViews>
  <sheets>
    <sheet name="dailyActivity_merged" sheetId="1" r:id="rId1"/>
    <sheet name="PT_DailyActivity" sheetId="2" r:id="rId2"/>
    <sheet name="Weekdays vs Weekends" sheetId="4" r:id="rId3"/>
    <sheet name="Activity_Intensity" sheetId="3" r:id="rId4"/>
    <sheet name="Steps vs Calories" sheetId="5" r:id="rId5"/>
    <sheet name="Dashboard" sheetId="6" r:id="rId6"/>
  </sheets>
  <externalReferences>
    <externalReference r:id="rId7"/>
  </externalReferences>
  <definedNames>
    <definedName name="_xlnm._FilterDatabase" localSheetId="0" hidden="1">dailyActivity_merged!$A$1:$S$458</definedName>
    <definedName name="ActiveMinutes">Activity_Intensity!$B$8</definedName>
    <definedName name="AvgActiveMinutes">Activity_Intensity!$B$8</definedName>
    <definedName name="AvgCaloriesBurned">PT_DailyActivity!$C$39</definedName>
    <definedName name="AvgDailySteps">PT_DailyActivity!$B$39</definedName>
    <definedName name="AvgSedentaryMinutes">PT_DailyActivity!$D$39</definedName>
    <definedName name="caloriesBurned">PT_DailyActivity!$C$39</definedName>
    <definedName name="DailySteps">PT_DailyActivity!$B$39</definedName>
    <definedName name="Price">'[1]Exploatory Analysis'!$A$4</definedName>
    <definedName name="SedentaryMinutes">PT_DailyActivity!$D$39</definedName>
  </definedNames>
  <calcPr calcId="191029"/>
  <pivotCaches>
    <pivotCache cacheId="33" r:id="rId8"/>
    <pivotCache cacheId="39" r:id="rId9"/>
    <pivotCache cacheId="3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2" i="1"/>
  <c r="R3" i="1" a="1"/>
  <c r="R3" i="1" s="1"/>
  <c r="R2" i="1" a="1"/>
  <c r="R2" i="1" s="1"/>
  <c r="R4" i="1" a="1"/>
  <c r="R4" i="1" s="1"/>
  <c r="B8" i="3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 s="1"/>
  <c r="R105" i="1" a="1"/>
  <c r="R105" i="1" s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 s="1"/>
  <c r="R140" i="1" a="1"/>
  <c r="R140" i="1" s="1"/>
  <c r="R141" i="1" a="1"/>
  <c r="R141" i="1" s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 s="1"/>
  <c r="R155" i="1" a="1"/>
  <c r="R155" i="1" s="1"/>
  <c r="R156" i="1" a="1"/>
  <c r="R156" i="1" s="1"/>
  <c r="R157" i="1" a="1"/>
  <c r="R157" i="1" s="1"/>
  <c r="R158" i="1" a="1"/>
  <c r="R158" i="1" s="1"/>
  <c r="R159" i="1" a="1"/>
  <c r="R159" i="1" s="1"/>
  <c r="R160" i="1" a="1"/>
  <c r="R160" i="1" s="1"/>
  <c r="R161" i="1" a="1"/>
  <c r="R161" i="1" s="1"/>
  <c r="R162" i="1" a="1"/>
  <c r="R162" i="1" s="1"/>
  <c r="R163" i="1" a="1"/>
  <c r="R163" i="1" s="1"/>
  <c r="R164" i="1" a="1"/>
  <c r="R164" i="1" s="1"/>
  <c r="R165" i="1" a="1"/>
  <c r="R165" i="1" s="1"/>
  <c r="R166" i="1" a="1"/>
  <c r="R166" i="1" s="1"/>
  <c r="R167" i="1" a="1"/>
  <c r="R167" i="1" s="1"/>
  <c r="R168" i="1" a="1"/>
  <c r="R168" i="1" s="1"/>
  <c r="R169" i="1" a="1"/>
  <c r="R169" i="1" s="1"/>
  <c r="R170" i="1" a="1"/>
  <c r="R170" i="1" s="1"/>
  <c r="R171" i="1" a="1"/>
  <c r="R171" i="1" s="1"/>
  <c r="R172" i="1" a="1"/>
  <c r="R172" i="1" s="1"/>
  <c r="R173" i="1" a="1"/>
  <c r="R173" i="1" s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 s="1"/>
  <c r="R189" i="1" a="1"/>
  <c r="R189" i="1" s="1"/>
  <c r="R190" i="1" a="1"/>
  <c r="R190" i="1" s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 s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 s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 s="1"/>
  <c r="R224" i="1" a="1"/>
  <c r="R224" i="1" s="1"/>
  <c r="R225" i="1" a="1"/>
  <c r="R225" i="1" s="1"/>
  <c r="R226" i="1" a="1"/>
  <c r="R226" i="1" s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 s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 s="1"/>
  <c r="R261" i="1" a="1"/>
  <c r="R261" i="1" s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 s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 s="1"/>
  <c r="R303" i="1" a="1"/>
  <c r="R303" i="1" s="1"/>
  <c r="R304" i="1" a="1"/>
  <c r="R304" i="1" s="1"/>
  <c r="R305" i="1" a="1"/>
  <c r="R305" i="1" s="1"/>
  <c r="R306" i="1" a="1"/>
  <c r="R306" i="1" s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 s="1"/>
  <c r="R359" i="1" a="1"/>
  <c r="R359" i="1" s="1"/>
  <c r="R360" i="1" a="1"/>
  <c r="R360" i="1" s="1"/>
  <c r="R361" i="1" a="1"/>
  <c r="R361" i="1" s="1"/>
  <c r="R362" i="1" a="1"/>
  <c r="R362" i="1" s="1"/>
  <c r="R363" i="1" a="1"/>
  <c r="R363" i="1" s="1"/>
  <c r="R364" i="1" a="1"/>
  <c r="R364" i="1" s="1"/>
  <c r="R365" i="1" a="1"/>
  <c r="R365" i="1" s="1"/>
  <c r="R366" i="1" a="1"/>
  <c r="R366" i="1" s="1"/>
  <c r="R367" i="1" a="1"/>
  <c r="R367" i="1" s="1"/>
  <c r="R368" i="1" a="1"/>
  <c r="R368" i="1" s="1"/>
  <c r="R369" i="1" a="1"/>
  <c r="R369" i="1" s="1"/>
  <c r="R370" i="1" a="1"/>
  <c r="R370" i="1" s="1"/>
  <c r="R371" i="1" a="1"/>
  <c r="R371" i="1" s="1"/>
  <c r="R372" i="1" a="1"/>
  <c r="R372" i="1" s="1"/>
  <c r="R373" i="1" a="1"/>
  <c r="R373" i="1" s="1"/>
  <c r="R374" i="1" a="1"/>
  <c r="R374" i="1" s="1"/>
  <c r="R375" i="1" a="1"/>
  <c r="R375" i="1" s="1"/>
  <c r="R376" i="1" a="1"/>
  <c r="R376" i="1" s="1"/>
  <c r="R377" i="1" a="1"/>
  <c r="R377" i="1" s="1"/>
  <c r="R378" i="1" a="1"/>
  <c r="R378" i="1" s="1"/>
  <c r="R379" i="1" a="1"/>
  <c r="R379" i="1" s="1"/>
  <c r="R380" i="1" a="1"/>
  <c r="R380" i="1" s="1"/>
  <c r="R381" i="1" a="1"/>
  <c r="R381" i="1" s="1"/>
  <c r="R382" i="1" a="1"/>
  <c r="R382" i="1" s="1"/>
  <c r="R383" i="1" a="1"/>
  <c r="R383" i="1" s="1"/>
  <c r="R384" i="1" a="1"/>
  <c r="R384" i="1" s="1"/>
  <c r="R385" i="1" a="1"/>
  <c r="R385" i="1" s="1"/>
  <c r="R386" i="1" a="1"/>
  <c r="R386" i="1" s="1"/>
  <c r="R387" i="1" a="1"/>
  <c r="R387" i="1" s="1"/>
  <c r="R388" i="1" a="1"/>
  <c r="R388" i="1" s="1"/>
  <c r="R389" i="1" a="1"/>
  <c r="R389" i="1" s="1"/>
  <c r="R390" i="1" a="1"/>
  <c r="R390" i="1" s="1"/>
  <c r="R391" i="1" a="1"/>
  <c r="R391" i="1" s="1"/>
  <c r="R392" i="1" a="1"/>
  <c r="R392" i="1" s="1"/>
  <c r="R393" i="1" a="1"/>
  <c r="R393" i="1" s="1"/>
  <c r="R394" i="1" a="1"/>
  <c r="R394" i="1" s="1"/>
  <c r="R395" i="1" a="1"/>
  <c r="R395" i="1" s="1"/>
  <c r="R396" i="1" a="1"/>
  <c r="R396" i="1" s="1"/>
  <c r="R397" i="1" a="1"/>
  <c r="R397" i="1" s="1"/>
  <c r="R398" i="1" a="1"/>
  <c r="R398" i="1" s="1"/>
  <c r="R399" i="1" a="1"/>
  <c r="R399" i="1" s="1"/>
  <c r="R400" i="1" a="1"/>
  <c r="R400" i="1" s="1"/>
  <c r="R401" i="1" a="1"/>
  <c r="R401" i="1" s="1"/>
  <c r="R402" i="1" a="1"/>
  <c r="R402" i="1" s="1"/>
  <c r="R403" i="1" a="1"/>
  <c r="R403" i="1" s="1"/>
  <c r="R404" i="1" a="1"/>
  <c r="R404" i="1" s="1"/>
  <c r="R405" i="1" a="1"/>
  <c r="R405" i="1" s="1"/>
  <c r="R406" i="1" a="1"/>
  <c r="R406" i="1" s="1"/>
  <c r="R407" i="1" a="1"/>
  <c r="R407" i="1" s="1"/>
  <c r="R408" i="1" a="1"/>
  <c r="R408" i="1" s="1"/>
  <c r="R409" i="1" a="1"/>
  <c r="R409" i="1" s="1"/>
  <c r="R410" i="1" a="1"/>
  <c r="R410" i="1" s="1"/>
  <c r="R411" i="1" a="1"/>
  <c r="R411" i="1" s="1"/>
  <c r="R412" i="1" a="1"/>
  <c r="R412" i="1" s="1"/>
  <c r="R413" i="1" a="1"/>
  <c r="R413" i="1" s="1"/>
  <c r="R414" i="1" a="1"/>
  <c r="R414" i="1" s="1"/>
  <c r="R415" i="1" a="1"/>
  <c r="R415" i="1" s="1"/>
  <c r="R416" i="1" a="1"/>
  <c r="R416" i="1" s="1"/>
  <c r="R417" i="1" a="1"/>
  <c r="R417" i="1" s="1"/>
  <c r="R418" i="1" a="1"/>
  <c r="R418" i="1" s="1"/>
  <c r="R419" i="1" a="1"/>
  <c r="R419" i="1" s="1"/>
  <c r="R420" i="1" a="1"/>
  <c r="R420" i="1" s="1"/>
  <c r="R421" i="1" a="1"/>
  <c r="R421" i="1" s="1"/>
  <c r="R422" i="1" a="1"/>
  <c r="R422" i="1" s="1"/>
  <c r="R423" i="1" a="1"/>
  <c r="R423" i="1" s="1"/>
  <c r="R424" i="1" a="1"/>
  <c r="R424" i="1" s="1"/>
  <c r="R425" i="1" a="1"/>
  <c r="R425" i="1" s="1"/>
  <c r="R426" i="1" a="1"/>
  <c r="R426" i="1" s="1"/>
  <c r="R427" i="1" a="1"/>
  <c r="R427" i="1" s="1"/>
  <c r="R428" i="1" a="1"/>
  <c r="R428" i="1" s="1"/>
  <c r="R429" i="1" a="1"/>
  <c r="R429" i="1" s="1"/>
  <c r="R430" i="1" a="1"/>
  <c r="R430" i="1" s="1"/>
  <c r="R431" i="1" a="1"/>
  <c r="R431" i="1" s="1"/>
  <c r="R432" i="1" a="1"/>
  <c r="R432" i="1" s="1"/>
  <c r="R433" i="1" a="1"/>
  <c r="R433" i="1" s="1"/>
  <c r="R434" i="1" a="1"/>
  <c r="R434" i="1" s="1"/>
  <c r="R435" i="1" a="1"/>
  <c r="R435" i="1" s="1"/>
  <c r="R436" i="1" a="1"/>
  <c r="R436" i="1" s="1"/>
  <c r="R437" i="1" a="1"/>
  <c r="R437" i="1" s="1"/>
  <c r="R438" i="1" a="1"/>
  <c r="R438" i="1" s="1"/>
  <c r="R439" i="1" a="1"/>
  <c r="R439" i="1" s="1"/>
  <c r="R440" i="1" a="1"/>
  <c r="R440" i="1" s="1"/>
  <c r="R441" i="1" a="1"/>
  <c r="R441" i="1" s="1"/>
  <c r="R442" i="1" a="1"/>
  <c r="R442" i="1" s="1"/>
  <c r="R443" i="1" a="1"/>
  <c r="R443" i="1" s="1"/>
  <c r="R444" i="1" a="1"/>
  <c r="R444" i="1" s="1"/>
  <c r="R445" i="1" a="1"/>
  <c r="R445" i="1" s="1"/>
  <c r="R446" i="1" a="1"/>
  <c r="R446" i="1" s="1"/>
  <c r="R447" i="1" a="1"/>
  <c r="R447" i="1" s="1"/>
  <c r="R448" i="1" a="1"/>
  <c r="R448" i="1" s="1"/>
  <c r="R449" i="1" a="1"/>
  <c r="R449" i="1" s="1"/>
  <c r="R450" i="1" a="1"/>
  <c r="R450" i="1" s="1"/>
  <c r="R451" i="1" a="1"/>
  <c r="R451" i="1" s="1"/>
  <c r="R452" i="1" a="1"/>
  <c r="R452" i="1" s="1"/>
  <c r="R453" i="1" a="1"/>
  <c r="R453" i="1" s="1"/>
  <c r="R454" i="1" a="1"/>
  <c r="R454" i="1" s="1"/>
  <c r="R455" i="1" a="1"/>
  <c r="R455" i="1" s="1"/>
  <c r="R456" i="1" a="1"/>
  <c r="R456" i="1" s="1"/>
  <c r="R457" i="1" a="1"/>
  <c r="R457" i="1" s="1"/>
  <c r="R458" i="1" a="1"/>
  <c r="R458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2" i="1"/>
  <c r="P408" i="1"/>
  <c r="P409" i="1"/>
  <c r="P410" i="1"/>
  <c r="P411" i="1"/>
  <c r="P412" i="1"/>
  <c r="P413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345" i="1"/>
  <c r="P346" i="1"/>
  <c r="P347" i="1"/>
  <c r="P340" i="1"/>
  <c r="P341" i="1"/>
  <c r="P337" i="1"/>
  <c r="P326" i="1"/>
  <c r="P327" i="1"/>
  <c r="P319" i="1"/>
  <c r="P320" i="1"/>
  <c r="P321" i="1"/>
  <c r="P322" i="1"/>
  <c r="P323" i="1"/>
  <c r="P324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14" i="1"/>
  <c r="P215" i="1"/>
  <c r="P216" i="1"/>
  <c r="P217" i="1"/>
  <c r="P207" i="1"/>
  <c r="P208" i="1"/>
  <c r="P209" i="1"/>
  <c r="P210" i="1"/>
  <c r="P211" i="1"/>
  <c r="P205" i="1"/>
  <c r="P203" i="1"/>
  <c r="P201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41" i="1"/>
  <c r="P125" i="1"/>
  <c r="P126" i="1"/>
  <c r="P127" i="1"/>
  <c r="P128" i="1"/>
  <c r="P129" i="1"/>
  <c r="P130" i="1"/>
  <c r="P131" i="1"/>
  <c r="P132" i="1"/>
  <c r="P133" i="1"/>
  <c r="P134" i="1"/>
  <c r="P135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55" i="1"/>
  <c r="P56" i="1"/>
  <c r="P57" i="1"/>
  <c r="P58" i="1"/>
  <c r="P59" i="1"/>
  <c r="P6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2" i="1"/>
  <c r="P414" i="1"/>
  <c r="P407" i="1"/>
  <c r="P406" i="1"/>
  <c r="P405" i="1"/>
  <c r="P404" i="1"/>
  <c r="P403" i="1"/>
  <c r="P348" i="1"/>
  <c r="P344" i="1"/>
  <c r="P343" i="1"/>
  <c r="P342" i="1"/>
  <c r="P339" i="1"/>
  <c r="P338" i="1"/>
  <c r="P336" i="1"/>
  <c r="P335" i="1"/>
  <c r="P334" i="1"/>
  <c r="P333" i="1"/>
  <c r="P332" i="1"/>
  <c r="P331" i="1"/>
  <c r="P330" i="1"/>
  <c r="P329" i="1"/>
  <c r="P328" i="1"/>
  <c r="P325" i="1"/>
  <c r="P318" i="1"/>
  <c r="P292" i="1"/>
  <c r="P250" i="1"/>
  <c r="P249" i="1"/>
  <c r="P248" i="1"/>
  <c r="P247" i="1"/>
  <c r="P246" i="1"/>
  <c r="P245" i="1"/>
  <c r="P244" i="1"/>
  <c r="P243" i="1"/>
  <c r="P242" i="1"/>
  <c r="P223" i="1"/>
  <c r="P222" i="1"/>
  <c r="P221" i="1"/>
  <c r="P220" i="1"/>
  <c r="P219" i="1"/>
  <c r="P218" i="1"/>
  <c r="P213" i="1"/>
  <c r="P212" i="1"/>
  <c r="P206" i="1"/>
  <c r="P204" i="1"/>
  <c r="P202" i="1"/>
  <c r="P200" i="1"/>
  <c r="P199" i="1"/>
  <c r="P143" i="1"/>
  <c r="P142" i="1"/>
  <c r="P140" i="1"/>
  <c r="P139" i="1"/>
  <c r="P138" i="1"/>
  <c r="P137" i="1"/>
  <c r="P136" i="1"/>
  <c r="P124" i="1"/>
  <c r="P101" i="1"/>
  <c r="P100" i="1"/>
  <c r="P99" i="1"/>
  <c r="P98" i="1"/>
  <c r="P61" i="1"/>
  <c r="P54" i="1"/>
  <c r="P5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<sst xmlns="http://schemas.openxmlformats.org/spreadsheetml/2006/main" count="79" uniqueCount="55">
  <si>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</si>
  <si>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</si>
  <si>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</si>
  <si>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</si>
  <si>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</si>
  <si>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</si>
  <si>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</si>
  <si>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</si>
  <si>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</si>
  <si>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</si>
  <si>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</si>
  <si>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</si>
  <si>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</si>
  <si>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</si>
  <si>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</si>
  <si>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Anomaly</t>
  </si>
  <si>
    <t>Row Labels</t>
  </si>
  <si>
    <t>Grand Total</t>
  </si>
  <si>
    <t>Sum of Calories</t>
  </si>
  <si>
    <t>Average of TotalSteps</t>
  </si>
  <si>
    <t>Average of Calories</t>
  </si>
  <si>
    <t>Average of SedentaryMinutes</t>
  </si>
  <si>
    <t>Sum of TotalSteps</t>
  </si>
  <si>
    <t>Valid</t>
  </si>
  <si>
    <t>weekends</t>
  </si>
  <si>
    <t>weekdays</t>
  </si>
  <si>
    <t>Day_Type</t>
  </si>
  <si>
    <t>Average of VeryActiveMinutes</t>
  </si>
  <si>
    <t>Average of FairlyActiveMinutes</t>
  </si>
  <si>
    <t>Average of LightlyActiveMinutes</t>
  </si>
  <si>
    <t>PrimaryActivityType</t>
  </si>
  <si>
    <t>DaysType</t>
  </si>
  <si>
    <t>Mar</t>
  </si>
  <si>
    <t>Apr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</si>
  <si>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</si>
  <si>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</si>
  <si>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</si>
  <si>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</si>
  <si>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</si>
  <si>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</si>
  <si>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</si>
  <si>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</si>
  <si>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</si>
  <si>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</si>
  <si>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</si>
  <si>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</si>
  <si>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</si>
  <si>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</si>
  <si>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</si>
  <si>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</si>
  <si>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</si>
  <si>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</si>
  <si>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</si>
  <si>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</si>
  <si>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UserType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</si>
</sst>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9745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33" borderId="0" xfId="0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1" defaultTableStyle="TableStyleMedium2" defaultPivotStyle="PivotStyleLight16">
    <tableStyle name="Invisible" pivot="0" table="0" count="0" xr9:uid="{970B5AC2-F6CE-4482-8144-4DE09CEE81C1}"/>
  </tableStyles>
  <colors>
    <mruColors>
      <color rgb="FF697456"/>
      <color rgb="FF786F52"/>
      <color rgb="FF665E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dailyActivity_merged!$O$1</c:f>
              <c:strCache>
                <c:ptCount val="1"/>
                <c:pt idx="0">
                  <c:v>Calories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dailyActivity_merged!$C$2:$C$458</c:f>
              <c:numCache>
                <c:formatCode>General</c:formatCode>
                <c:ptCount val="457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224</c:v>
                </c:pt>
                <c:pt idx="19">
                  <c:v>1810</c:v>
                </c:pt>
                <c:pt idx="20">
                  <c:v>815</c:v>
                </c:pt>
                <c:pt idx="21">
                  <c:v>1985</c:v>
                </c:pt>
                <c:pt idx="22">
                  <c:v>1905</c:v>
                </c:pt>
                <c:pt idx="23">
                  <c:v>1552</c:v>
                </c:pt>
                <c:pt idx="24">
                  <c:v>1675</c:v>
                </c:pt>
                <c:pt idx="25">
                  <c:v>4506</c:v>
                </c:pt>
                <c:pt idx="26">
                  <c:v>9218</c:v>
                </c:pt>
                <c:pt idx="27">
                  <c:v>1556</c:v>
                </c:pt>
                <c:pt idx="28">
                  <c:v>2910</c:v>
                </c:pt>
                <c:pt idx="29">
                  <c:v>18464</c:v>
                </c:pt>
                <c:pt idx="30">
                  <c:v>1335</c:v>
                </c:pt>
                <c:pt idx="31">
                  <c:v>1004</c:v>
                </c:pt>
                <c:pt idx="32">
                  <c:v>1111</c:v>
                </c:pt>
                <c:pt idx="33">
                  <c:v>6344</c:v>
                </c:pt>
                <c:pt idx="34">
                  <c:v>3572</c:v>
                </c:pt>
                <c:pt idx="35">
                  <c:v>3910</c:v>
                </c:pt>
                <c:pt idx="36">
                  <c:v>10000</c:v>
                </c:pt>
                <c:pt idx="37">
                  <c:v>6627</c:v>
                </c:pt>
                <c:pt idx="38">
                  <c:v>4636</c:v>
                </c:pt>
                <c:pt idx="39">
                  <c:v>20237</c:v>
                </c:pt>
                <c:pt idx="40">
                  <c:v>12912</c:v>
                </c:pt>
                <c:pt idx="41">
                  <c:v>2819</c:v>
                </c:pt>
                <c:pt idx="42">
                  <c:v>9921</c:v>
                </c:pt>
                <c:pt idx="43">
                  <c:v>8046</c:v>
                </c:pt>
                <c:pt idx="44">
                  <c:v>11166</c:v>
                </c:pt>
                <c:pt idx="45">
                  <c:v>7842</c:v>
                </c:pt>
                <c:pt idx="46">
                  <c:v>13840</c:v>
                </c:pt>
                <c:pt idx="47">
                  <c:v>1329</c:v>
                </c:pt>
                <c:pt idx="48">
                  <c:v>6847</c:v>
                </c:pt>
                <c:pt idx="49">
                  <c:v>5367</c:v>
                </c:pt>
                <c:pt idx="50">
                  <c:v>2841</c:v>
                </c:pt>
                <c:pt idx="51">
                  <c:v>0</c:v>
                </c:pt>
                <c:pt idx="52">
                  <c:v>0</c:v>
                </c:pt>
                <c:pt idx="53">
                  <c:v>7</c:v>
                </c:pt>
                <c:pt idx="54">
                  <c:v>6344</c:v>
                </c:pt>
                <c:pt idx="55">
                  <c:v>5316</c:v>
                </c:pt>
                <c:pt idx="56">
                  <c:v>4979</c:v>
                </c:pt>
                <c:pt idx="57">
                  <c:v>6556</c:v>
                </c:pt>
                <c:pt idx="58">
                  <c:v>5430</c:v>
                </c:pt>
                <c:pt idx="59">
                  <c:v>0</c:v>
                </c:pt>
                <c:pt idx="60">
                  <c:v>4317</c:v>
                </c:pt>
                <c:pt idx="61">
                  <c:v>5662</c:v>
                </c:pt>
                <c:pt idx="62">
                  <c:v>3198</c:v>
                </c:pt>
                <c:pt idx="63">
                  <c:v>2352</c:v>
                </c:pt>
                <c:pt idx="64">
                  <c:v>2234</c:v>
                </c:pt>
                <c:pt idx="65">
                  <c:v>1259</c:v>
                </c:pt>
                <c:pt idx="66">
                  <c:v>768</c:v>
                </c:pt>
                <c:pt idx="67">
                  <c:v>519</c:v>
                </c:pt>
                <c:pt idx="68">
                  <c:v>2523</c:v>
                </c:pt>
                <c:pt idx="69">
                  <c:v>2105</c:v>
                </c:pt>
                <c:pt idx="70">
                  <c:v>1209</c:v>
                </c:pt>
                <c:pt idx="71">
                  <c:v>24</c:v>
                </c:pt>
                <c:pt idx="72">
                  <c:v>13603</c:v>
                </c:pt>
                <c:pt idx="73">
                  <c:v>5477</c:v>
                </c:pt>
                <c:pt idx="74">
                  <c:v>11144</c:v>
                </c:pt>
                <c:pt idx="75">
                  <c:v>15313</c:v>
                </c:pt>
                <c:pt idx="76">
                  <c:v>10805</c:v>
                </c:pt>
                <c:pt idx="77">
                  <c:v>15392</c:v>
                </c:pt>
                <c:pt idx="78">
                  <c:v>18247</c:v>
                </c:pt>
                <c:pt idx="79">
                  <c:v>13023</c:v>
                </c:pt>
                <c:pt idx="80">
                  <c:v>16267</c:v>
                </c:pt>
                <c:pt idx="81">
                  <c:v>10005</c:v>
                </c:pt>
                <c:pt idx="82">
                  <c:v>10106</c:v>
                </c:pt>
                <c:pt idx="83">
                  <c:v>6717</c:v>
                </c:pt>
                <c:pt idx="84">
                  <c:v>2605</c:v>
                </c:pt>
                <c:pt idx="85">
                  <c:v>1229</c:v>
                </c:pt>
                <c:pt idx="86">
                  <c:v>2308</c:v>
                </c:pt>
                <c:pt idx="87">
                  <c:v>6679</c:v>
                </c:pt>
                <c:pt idx="88">
                  <c:v>5645</c:v>
                </c:pt>
                <c:pt idx="89">
                  <c:v>3180</c:v>
                </c:pt>
                <c:pt idx="90">
                  <c:v>2767</c:v>
                </c:pt>
                <c:pt idx="91">
                  <c:v>3762</c:v>
                </c:pt>
                <c:pt idx="92">
                  <c:v>3098</c:v>
                </c:pt>
                <c:pt idx="93">
                  <c:v>5142</c:v>
                </c:pt>
                <c:pt idx="94">
                  <c:v>3279</c:v>
                </c:pt>
                <c:pt idx="95">
                  <c:v>1019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4931</c:v>
                </c:pt>
                <c:pt idx="101">
                  <c:v>6999</c:v>
                </c:pt>
                <c:pt idx="102">
                  <c:v>1846</c:v>
                </c:pt>
                <c:pt idx="103">
                  <c:v>3417</c:v>
                </c:pt>
                <c:pt idx="104">
                  <c:v>4863</c:v>
                </c:pt>
                <c:pt idx="105">
                  <c:v>2277</c:v>
                </c:pt>
                <c:pt idx="106">
                  <c:v>11230</c:v>
                </c:pt>
                <c:pt idx="107">
                  <c:v>2098</c:v>
                </c:pt>
                <c:pt idx="108">
                  <c:v>10272</c:v>
                </c:pt>
                <c:pt idx="109">
                  <c:v>10533</c:v>
                </c:pt>
                <c:pt idx="110">
                  <c:v>6760</c:v>
                </c:pt>
                <c:pt idx="111">
                  <c:v>8328</c:v>
                </c:pt>
                <c:pt idx="112">
                  <c:v>15459</c:v>
                </c:pt>
                <c:pt idx="113">
                  <c:v>7485</c:v>
                </c:pt>
                <c:pt idx="114">
                  <c:v>10254</c:v>
                </c:pt>
                <c:pt idx="115">
                  <c:v>10114</c:v>
                </c:pt>
                <c:pt idx="116">
                  <c:v>11107</c:v>
                </c:pt>
                <c:pt idx="117">
                  <c:v>10320</c:v>
                </c:pt>
                <c:pt idx="118">
                  <c:v>10209</c:v>
                </c:pt>
                <c:pt idx="119">
                  <c:v>16081</c:v>
                </c:pt>
                <c:pt idx="120">
                  <c:v>10078</c:v>
                </c:pt>
                <c:pt idx="121">
                  <c:v>10001</c:v>
                </c:pt>
                <c:pt idx="122">
                  <c:v>0</c:v>
                </c:pt>
                <c:pt idx="123">
                  <c:v>890</c:v>
                </c:pt>
                <c:pt idx="124">
                  <c:v>2214</c:v>
                </c:pt>
                <c:pt idx="125">
                  <c:v>7640</c:v>
                </c:pt>
                <c:pt idx="126">
                  <c:v>9713</c:v>
                </c:pt>
                <c:pt idx="127">
                  <c:v>8432</c:v>
                </c:pt>
                <c:pt idx="128">
                  <c:v>7350</c:v>
                </c:pt>
                <c:pt idx="129">
                  <c:v>9353</c:v>
                </c:pt>
                <c:pt idx="130">
                  <c:v>7157</c:v>
                </c:pt>
                <c:pt idx="131">
                  <c:v>14103</c:v>
                </c:pt>
                <c:pt idx="132">
                  <c:v>5290</c:v>
                </c:pt>
                <c:pt idx="133">
                  <c:v>7497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4126</c:v>
                </c:pt>
                <c:pt idx="140">
                  <c:v>0</c:v>
                </c:pt>
                <c:pt idx="141">
                  <c:v>0</c:v>
                </c:pt>
                <c:pt idx="142">
                  <c:v>2063</c:v>
                </c:pt>
                <c:pt idx="143">
                  <c:v>5785</c:v>
                </c:pt>
                <c:pt idx="144">
                  <c:v>7625</c:v>
                </c:pt>
                <c:pt idx="145">
                  <c:v>4706</c:v>
                </c:pt>
                <c:pt idx="146">
                  <c:v>5861</c:v>
                </c:pt>
                <c:pt idx="147">
                  <c:v>4460</c:v>
                </c:pt>
                <c:pt idx="148">
                  <c:v>6406</c:v>
                </c:pt>
                <c:pt idx="149">
                  <c:v>7392</c:v>
                </c:pt>
                <c:pt idx="150">
                  <c:v>5551</c:v>
                </c:pt>
                <c:pt idx="151">
                  <c:v>8827</c:v>
                </c:pt>
                <c:pt idx="152">
                  <c:v>4662</c:v>
                </c:pt>
                <c:pt idx="153">
                  <c:v>4499</c:v>
                </c:pt>
                <c:pt idx="154">
                  <c:v>7618</c:v>
                </c:pt>
                <c:pt idx="155">
                  <c:v>11508</c:v>
                </c:pt>
                <c:pt idx="156">
                  <c:v>11943</c:v>
                </c:pt>
                <c:pt idx="157">
                  <c:v>12303</c:v>
                </c:pt>
                <c:pt idx="158">
                  <c:v>15425</c:v>
                </c:pt>
                <c:pt idx="159">
                  <c:v>8422</c:v>
                </c:pt>
                <c:pt idx="160">
                  <c:v>10226</c:v>
                </c:pt>
                <c:pt idx="161">
                  <c:v>14583</c:v>
                </c:pt>
                <c:pt idx="162">
                  <c:v>3573</c:v>
                </c:pt>
                <c:pt idx="163">
                  <c:v>3108</c:v>
                </c:pt>
                <c:pt idx="164">
                  <c:v>759</c:v>
                </c:pt>
                <c:pt idx="165">
                  <c:v>5543</c:v>
                </c:pt>
                <c:pt idx="166">
                  <c:v>3226</c:v>
                </c:pt>
                <c:pt idx="167">
                  <c:v>3023</c:v>
                </c:pt>
                <c:pt idx="168">
                  <c:v>5906</c:v>
                </c:pt>
                <c:pt idx="169">
                  <c:v>12483</c:v>
                </c:pt>
                <c:pt idx="170">
                  <c:v>8940</c:v>
                </c:pt>
                <c:pt idx="171">
                  <c:v>368</c:v>
                </c:pt>
                <c:pt idx="172">
                  <c:v>5702</c:v>
                </c:pt>
                <c:pt idx="173">
                  <c:v>10330</c:v>
                </c:pt>
                <c:pt idx="174">
                  <c:v>8778</c:v>
                </c:pt>
                <c:pt idx="175">
                  <c:v>6662</c:v>
                </c:pt>
                <c:pt idx="176">
                  <c:v>6309</c:v>
                </c:pt>
                <c:pt idx="177">
                  <c:v>1951</c:v>
                </c:pt>
                <c:pt idx="178">
                  <c:v>5563</c:v>
                </c:pt>
                <c:pt idx="179">
                  <c:v>4370</c:v>
                </c:pt>
                <c:pt idx="180">
                  <c:v>7144</c:v>
                </c:pt>
                <c:pt idx="181">
                  <c:v>2106</c:v>
                </c:pt>
                <c:pt idx="182">
                  <c:v>4152</c:v>
                </c:pt>
                <c:pt idx="183">
                  <c:v>5400</c:v>
                </c:pt>
                <c:pt idx="184">
                  <c:v>7428</c:v>
                </c:pt>
                <c:pt idx="185">
                  <c:v>5351</c:v>
                </c:pt>
                <c:pt idx="186">
                  <c:v>4299</c:v>
                </c:pt>
                <c:pt idx="187">
                  <c:v>6107</c:v>
                </c:pt>
                <c:pt idx="188">
                  <c:v>6429</c:v>
                </c:pt>
                <c:pt idx="189">
                  <c:v>6880</c:v>
                </c:pt>
                <c:pt idx="190">
                  <c:v>7476</c:v>
                </c:pt>
                <c:pt idx="191">
                  <c:v>6581</c:v>
                </c:pt>
                <c:pt idx="192">
                  <c:v>10480</c:v>
                </c:pt>
                <c:pt idx="193">
                  <c:v>7734</c:v>
                </c:pt>
                <c:pt idx="194">
                  <c:v>5129</c:v>
                </c:pt>
                <c:pt idx="195">
                  <c:v>2993</c:v>
                </c:pt>
                <c:pt idx="196">
                  <c:v>8</c:v>
                </c:pt>
                <c:pt idx="197">
                  <c:v>0</c:v>
                </c:pt>
                <c:pt idx="198">
                  <c:v>0</c:v>
                </c:pt>
                <c:pt idx="199">
                  <c:v>8433</c:v>
                </c:pt>
                <c:pt idx="200">
                  <c:v>0</c:v>
                </c:pt>
                <c:pt idx="201">
                  <c:v>2139</c:v>
                </c:pt>
                <c:pt idx="202">
                  <c:v>0</c:v>
                </c:pt>
                <c:pt idx="203">
                  <c:v>949</c:v>
                </c:pt>
                <c:pt idx="204">
                  <c:v>0</c:v>
                </c:pt>
                <c:pt idx="205">
                  <c:v>44</c:v>
                </c:pt>
                <c:pt idx="206">
                  <c:v>2660</c:v>
                </c:pt>
                <c:pt idx="207">
                  <c:v>5561</c:v>
                </c:pt>
                <c:pt idx="208">
                  <c:v>7239</c:v>
                </c:pt>
                <c:pt idx="209">
                  <c:v>7</c:v>
                </c:pt>
                <c:pt idx="210">
                  <c:v>0</c:v>
                </c:pt>
                <c:pt idx="211">
                  <c:v>0</c:v>
                </c:pt>
                <c:pt idx="212">
                  <c:v>2275</c:v>
                </c:pt>
                <c:pt idx="213">
                  <c:v>8</c:v>
                </c:pt>
                <c:pt idx="214">
                  <c:v>5137</c:v>
                </c:pt>
                <c:pt idx="215">
                  <c:v>5419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18</c:v>
                </c:pt>
                <c:pt idx="223">
                  <c:v>4</c:v>
                </c:pt>
                <c:pt idx="224">
                  <c:v>8426</c:v>
                </c:pt>
                <c:pt idx="225">
                  <c:v>1650</c:v>
                </c:pt>
                <c:pt idx="226">
                  <c:v>3434</c:v>
                </c:pt>
                <c:pt idx="227">
                  <c:v>6801</c:v>
                </c:pt>
                <c:pt idx="228">
                  <c:v>187</c:v>
                </c:pt>
                <c:pt idx="229">
                  <c:v>5643</c:v>
                </c:pt>
                <c:pt idx="230">
                  <c:v>9043</c:v>
                </c:pt>
                <c:pt idx="231">
                  <c:v>8144</c:v>
                </c:pt>
                <c:pt idx="232">
                  <c:v>9343</c:v>
                </c:pt>
                <c:pt idx="233">
                  <c:v>8405</c:v>
                </c:pt>
                <c:pt idx="234">
                  <c:v>8223</c:v>
                </c:pt>
                <c:pt idx="235">
                  <c:v>10067</c:v>
                </c:pt>
                <c:pt idx="236">
                  <c:v>8359</c:v>
                </c:pt>
                <c:pt idx="237">
                  <c:v>10946</c:v>
                </c:pt>
                <c:pt idx="238">
                  <c:v>9130</c:v>
                </c:pt>
                <c:pt idx="239">
                  <c:v>6544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2303</c:v>
                </c:pt>
                <c:pt idx="250">
                  <c:v>2600</c:v>
                </c:pt>
                <c:pt idx="251">
                  <c:v>4804</c:v>
                </c:pt>
                <c:pt idx="252">
                  <c:v>3271</c:v>
                </c:pt>
                <c:pt idx="253">
                  <c:v>5406</c:v>
                </c:pt>
                <c:pt idx="254">
                  <c:v>3146</c:v>
                </c:pt>
                <c:pt idx="255">
                  <c:v>2422</c:v>
                </c:pt>
                <c:pt idx="256">
                  <c:v>4239</c:v>
                </c:pt>
                <c:pt idx="257">
                  <c:v>6911</c:v>
                </c:pt>
                <c:pt idx="258">
                  <c:v>6667</c:v>
                </c:pt>
                <c:pt idx="259">
                  <c:v>5543</c:v>
                </c:pt>
                <c:pt idx="260">
                  <c:v>4195</c:v>
                </c:pt>
                <c:pt idx="261">
                  <c:v>6625</c:v>
                </c:pt>
                <c:pt idx="262">
                  <c:v>5986</c:v>
                </c:pt>
                <c:pt idx="263">
                  <c:v>278</c:v>
                </c:pt>
                <c:pt idx="264">
                  <c:v>5336</c:v>
                </c:pt>
                <c:pt idx="265">
                  <c:v>3183</c:v>
                </c:pt>
                <c:pt idx="266">
                  <c:v>6176</c:v>
                </c:pt>
                <c:pt idx="267">
                  <c:v>8205</c:v>
                </c:pt>
                <c:pt idx="268">
                  <c:v>6799</c:v>
                </c:pt>
                <c:pt idx="269">
                  <c:v>5668</c:v>
                </c:pt>
                <c:pt idx="270">
                  <c:v>7998</c:v>
                </c:pt>
                <c:pt idx="271">
                  <c:v>4195</c:v>
                </c:pt>
                <c:pt idx="272">
                  <c:v>5512</c:v>
                </c:pt>
                <c:pt idx="273">
                  <c:v>6263</c:v>
                </c:pt>
                <c:pt idx="274">
                  <c:v>8828</c:v>
                </c:pt>
                <c:pt idx="275">
                  <c:v>1260</c:v>
                </c:pt>
                <c:pt idx="276">
                  <c:v>6506</c:v>
                </c:pt>
                <c:pt idx="277">
                  <c:v>7583</c:v>
                </c:pt>
                <c:pt idx="278">
                  <c:v>6963</c:v>
                </c:pt>
                <c:pt idx="279">
                  <c:v>7165</c:v>
                </c:pt>
                <c:pt idx="280">
                  <c:v>10328</c:v>
                </c:pt>
                <c:pt idx="281">
                  <c:v>12116</c:v>
                </c:pt>
                <c:pt idx="282">
                  <c:v>7810</c:v>
                </c:pt>
                <c:pt idx="283">
                  <c:v>6670</c:v>
                </c:pt>
                <c:pt idx="284">
                  <c:v>7605</c:v>
                </c:pt>
                <c:pt idx="285">
                  <c:v>6585</c:v>
                </c:pt>
                <c:pt idx="286">
                  <c:v>8184</c:v>
                </c:pt>
                <c:pt idx="287">
                  <c:v>14002</c:v>
                </c:pt>
                <c:pt idx="288">
                  <c:v>11135</c:v>
                </c:pt>
                <c:pt idx="289">
                  <c:v>6499</c:v>
                </c:pt>
                <c:pt idx="290">
                  <c:v>0</c:v>
                </c:pt>
                <c:pt idx="291">
                  <c:v>12409</c:v>
                </c:pt>
                <c:pt idx="292">
                  <c:v>2937</c:v>
                </c:pt>
                <c:pt idx="293">
                  <c:v>1515</c:v>
                </c:pt>
                <c:pt idx="294">
                  <c:v>8921</c:v>
                </c:pt>
                <c:pt idx="295">
                  <c:v>11306</c:v>
                </c:pt>
                <c:pt idx="296">
                  <c:v>12252</c:v>
                </c:pt>
                <c:pt idx="297">
                  <c:v>15444</c:v>
                </c:pt>
                <c:pt idx="298">
                  <c:v>9938</c:v>
                </c:pt>
                <c:pt idx="299">
                  <c:v>4599</c:v>
                </c:pt>
                <c:pt idx="300">
                  <c:v>5594</c:v>
                </c:pt>
                <c:pt idx="301">
                  <c:v>11906</c:v>
                </c:pt>
                <c:pt idx="302">
                  <c:v>3436</c:v>
                </c:pt>
                <c:pt idx="303">
                  <c:v>10461</c:v>
                </c:pt>
                <c:pt idx="304">
                  <c:v>14873</c:v>
                </c:pt>
                <c:pt idx="305">
                  <c:v>9917</c:v>
                </c:pt>
                <c:pt idx="306">
                  <c:v>7401</c:v>
                </c:pt>
                <c:pt idx="307">
                  <c:v>8964</c:v>
                </c:pt>
                <c:pt idx="308">
                  <c:v>11080</c:v>
                </c:pt>
                <c:pt idx="309">
                  <c:v>4499</c:v>
                </c:pt>
                <c:pt idx="310">
                  <c:v>4363</c:v>
                </c:pt>
                <c:pt idx="311">
                  <c:v>10494</c:v>
                </c:pt>
                <c:pt idx="312">
                  <c:v>9776</c:v>
                </c:pt>
                <c:pt idx="313">
                  <c:v>2862</c:v>
                </c:pt>
                <c:pt idx="314">
                  <c:v>7444</c:v>
                </c:pt>
                <c:pt idx="315">
                  <c:v>19658</c:v>
                </c:pt>
                <c:pt idx="316">
                  <c:v>0</c:v>
                </c:pt>
                <c:pt idx="317">
                  <c:v>8468</c:v>
                </c:pt>
                <c:pt idx="318">
                  <c:v>9910</c:v>
                </c:pt>
                <c:pt idx="319">
                  <c:v>12409</c:v>
                </c:pt>
                <c:pt idx="320">
                  <c:v>4853</c:v>
                </c:pt>
                <c:pt idx="321">
                  <c:v>8955</c:v>
                </c:pt>
                <c:pt idx="322">
                  <c:v>10789</c:v>
                </c:pt>
                <c:pt idx="323">
                  <c:v>0</c:v>
                </c:pt>
                <c:pt idx="324">
                  <c:v>6633</c:v>
                </c:pt>
                <c:pt idx="325">
                  <c:v>9548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2101</c:v>
                </c:pt>
                <c:pt idx="336">
                  <c:v>0</c:v>
                </c:pt>
                <c:pt idx="337">
                  <c:v>0</c:v>
                </c:pt>
                <c:pt idx="338">
                  <c:v>9766</c:v>
                </c:pt>
                <c:pt idx="339">
                  <c:v>165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7225</c:v>
                </c:pt>
                <c:pt idx="344">
                  <c:v>1988</c:v>
                </c:pt>
                <c:pt idx="345">
                  <c:v>1577</c:v>
                </c:pt>
                <c:pt idx="346">
                  <c:v>0</c:v>
                </c:pt>
                <c:pt idx="347">
                  <c:v>9348</c:v>
                </c:pt>
                <c:pt idx="348">
                  <c:v>11761</c:v>
                </c:pt>
                <c:pt idx="349">
                  <c:v>13987</c:v>
                </c:pt>
                <c:pt idx="350">
                  <c:v>4131</c:v>
                </c:pt>
                <c:pt idx="351">
                  <c:v>14</c:v>
                </c:pt>
                <c:pt idx="352">
                  <c:v>15491</c:v>
                </c:pt>
                <c:pt idx="353">
                  <c:v>14097</c:v>
                </c:pt>
                <c:pt idx="354">
                  <c:v>10467</c:v>
                </c:pt>
                <c:pt idx="355">
                  <c:v>12437</c:v>
                </c:pt>
                <c:pt idx="356">
                  <c:v>12307</c:v>
                </c:pt>
                <c:pt idx="357">
                  <c:v>18952</c:v>
                </c:pt>
                <c:pt idx="358">
                  <c:v>12010</c:v>
                </c:pt>
                <c:pt idx="359">
                  <c:v>12480</c:v>
                </c:pt>
                <c:pt idx="360">
                  <c:v>13417</c:v>
                </c:pt>
                <c:pt idx="361">
                  <c:v>14400</c:v>
                </c:pt>
                <c:pt idx="362">
                  <c:v>12495</c:v>
                </c:pt>
                <c:pt idx="363">
                  <c:v>10148</c:v>
                </c:pt>
                <c:pt idx="364">
                  <c:v>12362</c:v>
                </c:pt>
                <c:pt idx="365">
                  <c:v>5893</c:v>
                </c:pt>
                <c:pt idx="366">
                  <c:v>11680</c:v>
                </c:pt>
                <c:pt idx="367">
                  <c:v>10976</c:v>
                </c:pt>
                <c:pt idx="368">
                  <c:v>16806</c:v>
                </c:pt>
                <c:pt idx="369">
                  <c:v>15266</c:v>
                </c:pt>
                <c:pt idx="370">
                  <c:v>12084</c:v>
                </c:pt>
                <c:pt idx="371">
                  <c:v>13513</c:v>
                </c:pt>
                <c:pt idx="372">
                  <c:v>14100</c:v>
                </c:pt>
                <c:pt idx="373">
                  <c:v>12627</c:v>
                </c:pt>
                <c:pt idx="374">
                  <c:v>10345</c:v>
                </c:pt>
                <c:pt idx="375">
                  <c:v>10146</c:v>
                </c:pt>
                <c:pt idx="376">
                  <c:v>12168</c:v>
                </c:pt>
                <c:pt idx="377">
                  <c:v>7413</c:v>
                </c:pt>
                <c:pt idx="378">
                  <c:v>11463</c:v>
                </c:pt>
                <c:pt idx="379">
                  <c:v>87</c:v>
                </c:pt>
                <c:pt idx="380">
                  <c:v>1949</c:v>
                </c:pt>
                <c:pt idx="381">
                  <c:v>6101</c:v>
                </c:pt>
                <c:pt idx="382">
                  <c:v>7478</c:v>
                </c:pt>
                <c:pt idx="383">
                  <c:v>7352</c:v>
                </c:pt>
                <c:pt idx="384">
                  <c:v>14604</c:v>
                </c:pt>
                <c:pt idx="385">
                  <c:v>9634</c:v>
                </c:pt>
                <c:pt idx="386">
                  <c:v>7338</c:v>
                </c:pt>
                <c:pt idx="387">
                  <c:v>569</c:v>
                </c:pt>
                <c:pt idx="388">
                  <c:v>6242</c:v>
                </c:pt>
                <c:pt idx="389">
                  <c:v>430</c:v>
                </c:pt>
                <c:pt idx="390">
                  <c:v>20188</c:v>
                </c:pt>
                <c:pt idx="391">
                  <c:v>25701</c:v>
                </c:pt>
                <c:pt idx="392">
                  <c:v>17395</c:v>
                </c:pt>
                <c:pt idx="393">
                  <c:v>17167</c:v>
                </c:pt>
                <c:pt idx="394">
                  <c:v>16435</c:v>
                </c:pt>
                <c:pt idx="395">
                  <c:v>17078</c:v>
                </c:pt>
                <c:pt idx="396">
                  <c:v>11693</c:v>
                </c:pt>
                <c:pt idx="397">
                  <c:v>11159</c:v>
                </c:pt>
                <c:pt idx="398">
                  <c:v>10118</c:v>
                </c:pt>
                <c:pt idx="399">
                  <c:v>16064</c:v>
                </c:pt>
                <c:pt idx="400">
                  <c:v>290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1931</c:v>
                </c:pt>
                <c:pt idx="407">
                  <c:v>5181</c:v>
                </c:pt>
                <c:pt idx="408">
                  <c:v>12026</c:v>
                </c:pt>
                <c:pt idx="409">
                  <c:v>5360</c:v>
                </c:pt>
                <c:pt idx="410">
                  <c:v>2545</c:v>
                </c:pt>
                <c:pt idx="411">
                  <c:v>1636</c:v>
                </c:pt>
                <c:pt idx="412">
                  <c:v>0</c:v>
                </c:pt>
                <c:pt idx="413">
                  <c:v>14179</c:v>
                </c:pt>
                <c:pt idx="414">
                  <c:v>3358</c:v>
                </c:pt>
                <c:pt idx="415">
                  <c:v>9152</c:v>
                </c:pt>
                <c:pt idx="416">
                  <c:v>13935</c:v>
                </c:pt>
                <c:pt idx="417">
                  <c:v>12846</c:v>
                </c:pt>
                <c:pt idx="418">
                  <c:v>9124</c:v>
                </c:pt>
                <c:pt idx="419">
                  <c:v>9725</c:v>
                </c:pt>
                <c:pt idx="420">
                  <c:v>8350</c:v>
                </c:pt>
                <c:pt idx="421">
                  <c:v>2240</c:v>
                </c:pt>
                <c:pt idx="422">
                  <c:v>2631</c:v>
                </c:pt>
                <c:pt idx="423">
                  <c:v>8837</c:v>
                </c:pt>
                <c:pt idx="424">
                  <c:v>3246</c:v>
                </c:pt>
                <c:pt idx="425">
                  <c:v>2174</c:v>
                </c:pt>
                <c:pt idx="426">
                  <c:v>3494</c:v>
                </c:pt>
                <c:pt idx="427">
                  <c:v>2380</c:v>
                </c:pt>
                <c:pt idx="428">
                  <c:v>3159</c:v>
                </c:pt>
                <c:pt idx="429">
                  <c:v>6835</c:v>
                </c:pt>
                <c:pt idx="430">
                  <c:v>2098</c:v>
                </c:pt>
                <c:pt idx="431">
                  <c:v>2816</c:v>
                </c:pt>
                <c:pt idx="432">
                  <c:v>1408</c:v>
                </c:pt>
                <c:pt idx="433">
                  <c:v>4592</c:v>
                </c:pt>
                <c:pt idx="434">
                  <c:v>8452</c:v>
                </c:pt>
                <c:pt idx="435">
                  <c:v>7238</c:v>
                </c:pt>
                <c:pt idx="436">
                  <c:v>3821</c:v>
                </c:pt>
                <c:pt idx="437">
                  <c:v>2332</c:v>
                </c:pt>
                <c:pt idx="438">
                  <c:v>2121</c:v>
                </c:pt>
                <c:pt idx="439">
                  <c:v>1291</c:v>
                </c:pt>
                <c:pt idx="440">
                  <c:v>1467</c:v>
                </c:pt>
                <c:pt idx="441">
                  <c:v>1022</c:v>
                </c:pt>
                <c:pt idx="442">
                  <c:v>4605</c:v>
                </c:pt>
                <c:pt idx="443">
                  <c:v>178</c:v>
                </c:pt>
                <c:pt idx="444">
                  <c:v>20</c:v>
                </c:pt>
                <c:pt idx="445">
                  <c:v>18700</c:v>
                </c:pt>
                <c:pt idx="446">
                  <c:v>27572</c:v>
                </c:pt>
                <c:pt idx="447">
                  <c:v>15260</c:v>
                </c:pt>
                <c:pt idx="448">
                  <c:v>20779</c:v>
                </c:pt>
                <c:pt idx="449">
                  <c:v>10695</c:v>
                </c:pt>
                <c:pt idx="450">
                  <c:v>24136</c:v>
                </c:pt>
                <c:pt idx="451">
                  <c:v>10910</c:v>
                </c:pt>
                <c:pt idx="452">
                  <c:v>23014</c:v>
                </c:pt>
                <c:pt idx="453">
                  <c:v>16470</c:v>
                </c:pt>
                <c:pt idx="454">
                  <c:v>28497</c:v>
                </c:pt>
                <c:pt idx="455">
                  <c:v>10622</c:v>
                </c:pt>
                <c:pt idx="456">
                  <c:v>2350</c:v>
                </c:pt>
              </c:numCache>
            </c:numRef>
          </c:xVal>
          <c:yVal>
            <c:numRef>
              <c:f>dailyActivity_merged!$O$2:$O$458</c:f>
              <c:numCache>
                <c:formatCode>General</c:formatCode>
                <c:ptCount val="457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50</c:v>
                </c:pt>
                <c:pt idx="19">
                  <c:v>1373</c:v>
                </c:pt>
                <c:pt idx="20">
                  <c:v>1264</c:v>
                </c:pt>
                <c:pt idx="21">
                  <c:v>1350</c:v>
                </c:pt>
                <c:pt idx="22">
                  <c:v>1342</c:v>
                </c:pt>
                <c:pt idx="23">
                  <c:v>1300</c:v>
                </c:pt>
                <c:pt idx="24">
                  <c:v>1313</c:v>
                </c:pt>
                <c:pt idx="25">
                  <c:v>1498</c:v>
                </c:pt>
                <c:pt idx="26">
                  <c:v>1541</c:v>
                </c:pt>
                <c:pt idx="27">
                  <c:v>1327</c:v>
                </c:pt>
                <c:pt idx="28">
                  <c:v>1452</c:v>
                </c:pt>
                <c:pt idx="29">
                  <c:v>1574</c:v>
                </c:pt>
                <c:pt idx="30">
                  <c:v>1308</c:v>
                </c:pt>
                <c:pt idx="31">
                  <c:v>1276</c:v>
                </c:pt>
                <c:pt idx="32">
                  <c:v>1278</c:v>
                </c:pt>
                <c:pt idx="33">
                  <c:v>1409</c:v>
                </c:pt>
                <c:pt idx="34">
                  <c:v>1370</c:v>
                </c:pt>
                <c:pt idx="35">
                  <c:v>1555</c:v>
                </c:pt>
                <c:pt idx="36">
                  <c:v>1469</c:v>
                </c:pt>
                <c:pt idx="37">
                  <c:v>706</c:v>
                </c:pt>
                <c:pt idx="38">
                  <c:v>3323</c:v>
                </c:pt>
                <c:pt idx="39">
                  <c:v>4029</c:v>
                </c:pt>
                <c:pt idx="40">
                  <c:v>3436</c:v>
                </c:pt>
                <c:pt idx="41">
                  <c:v>2444</c:v>
                </c:pt>
                <c:pt idx="42">
                  <c:v>3098</c:v>
                </c:pt>
                <c:pt idx="43">
                  <c:v>2925</c:v>
                </c:pt>
                <c:pt idx="44">
                  <c:v>3202</c:v>
                </c:pt>
                <c:pt idx="45">
                  <c:v>2928</c:v>
                </c:pt>
                <c:pt idx="46">
                  <c:v>3290</c:v>
                </c:pt>
                <c:pt idx="47">
                  <c:v>489</c:v>
                </c:pt>
                <c:pt idx="48">
                  <c:v>1969</c:v>
                </c:pt>
                <c:pt idx="49">
                  <c:v>1889</c:v>
                </c:pt>
                <c:pt idx="50">
                  <c:v>1636</c:v>
                </c:pt>
                <c:pt idx="51">
                  <c:v>1347</c:v>
                </c:pt>
                <c:pt idx="52">
                  <c:v>1347</c:v>
                </c:pt>
                <c:pt idx="53">
                  <c:v>1349</c:v>
                </c:pt>
                <c:pt idx="54">
                  <c:v>1965</c:v>
                </c:pt>
                <c:pt idx="55">
                  <c:v>1824</c:v>
                </c:pt>
                <c:pt idx="56">
                  <c:v>1807</c:v>
                </c:pt>
                <c:pt idx="57">
                  <c:v>1971</c:v>
                </c:pt>
                <c:pt idx="58">
                  <c:v>1888</c:v>
                </c:pt>
                <c:pt idx="59">
                  <c:v>399</c:v>
                </c:pt>
                <c:pt idx="60">
                  <c:v>2590</c:v>
                </c:pt>
                <c:pt idx="61">
                  <c:v>2783</c:v>
                </c:pt>
                <c:pt idx="62">
                  <c:v>2449</c:v>
                </c:pt>
                <c:pt idx="63">
                  <c:v>2380</c:v>
                </c:pt>
                <c:pt idx="64">
                  <c:v>2344</c:v>
                </c:pt>
                <c:pt idx="65">
                  <c:v>2202</c:v>
                </c:pt>
                <c:pt idx="66">
                  <c:v>2130</c:v>
                </c:pt>
                <c:pt idx="67">
                  <c:v>2088</c:v>
                </c:pt>
                <c:pt idx="68">
                  <c:v>2443</c:v>
                </c:pt>
                <c:pt idx="69">
                  <c:v>2442</c:v>
                </c:pt>
                <c:pt idx="70">
                  <c:v>2255</c:v>
                </c:pt>
                <c:pt idx="71">
                  <c:v>942</c:v>
                </c:pt>
                <c:pt idx="72">
                  <c:v>2645</c:v>
                </c:pt>
                <c:pt idx="73">
                  <c:v>2040</c:v>
                </c:pt>
                <c:pt idx="74">
                  <c:v>2395</c:v>
                </c:pt>
                <c:pt idx="75">
                  <c:v>2581</c:v>
                </c:pt>
                <c:pt idx="76">
                  <c:v>2735</c:v>
                </c:pt>
                <c:pt idx="77">
                  <c:v>2733</c:v>
                </c:pt>
                <c:pt idx="78">
                  <c:v>3021</c:v>
                </c:pt>
                <c:pt idx="79">
                  <c:v>2577</c:v>
                </c:pt>
                <c:pt idx="80">
                  <c:v>2811</c:v>
                </c:pt>
                <c:pt idx="81">
                  <c:v>2458</c:v>
                </c:pt>
                <c:pt idx="82">
                  <c:v>2568</c:v>
                </c:pt>
                <c:pt idx="83">
                  <c:v>1140</c:v>
                </c:pt>
                <c:pt idx="84">
                  <c:v>1407</c:v>
                </c:pt>
                <c:pt idx="85">
                  <c:v>1237</c:v>
                </c:pt>
                <c:pt idx="86">
                  <c:v>1330</c:v>
                </c:pt>
                <c:pt idx="87">
                  <c:v>1583</c:v>
                </c:pt>
                <c:pt idx="88">
                  <c:v>1538</c:v>
                </c:pt>
                <c:pt idx="89">
                  <c:v>1421</c:v>
                </c:pt>
                <c:pt idx="90">
                  <c:v>1392</c:v>
                </c:pt>
                <c:pt idx="91">
                  <c:v>1425</c:v>
                </c:pt>
                <c:pt idx="92">
                  <c:v>1413</c:v>
                </c:pt>
                <c:pt idx="93">
                  <c:v>1515</c:v>
                </c:pt>
                <c:pt idx="94">
                  <c:v>1405</c:v>
                </c:pt>
                <c:pt idx="95">
                  <c:v>600</c:v>
                </c:pt>
                <c:pt idx="96">
                  <c:v>1324</c:v>
                </c:pt>
                <c:pt idx="97">
                  <c:v>1324</c:v>
                </c:pt>
                <c:pt idx="98">
                  <c:v>1324</c:v>
                </c:pt>
                <c:pt idx="99">
                  <c:v>1324</c:v>
                </c:pt>
                <c:pt idx="100">
                  <c:v>1708</c:v>
                </c:pt>
                <c:pt idx="101">
                  <c:v>1950</c:v>
                </c:pt>
                <c:pt idx="102">
                  <c:v>1508</c:v>
                </c:pt>
                <c:pt idx="103">
                  <c:v>1625</c:v>
                </c:pt>
                <c:pt idx="104">
                  <c:v>1772</c:v>
                </c:pt>
                <c:pt idx="105">
                  <c:v>1530</c:v>
                </c:pt>
                <c:pt idx="106">
                  <c:v>2206</c:v>
                </c:pt>
                <c:pt idx="107">
                  <c:v>790</c:v>
                </c:pt>
                <c:pt idx="108">
                  <c:v>2041</c:v>
                </c:pt>
                <c:pt idx="109">
                  <c:v>2187</c:v>
                </c:pt>
                <c:pt idx="110">
                  <c:v>1929</c:v>
                </c:pt>
                <c:pt idx="111">
                  <c:v>1935</c:v>
                </c:pt>
                <c:pt idx="112">
                  <c:v>2438</c:v>
                </c:pt>
                <c:pt idx="113">
                  <c:v>2035</c:v>
                </c:pt>
                <c:pt idx="114">
                  <c:v>2099</c:v>
                </c:pt>
                <c:pt idx="115">
                  <c:v>2096</c:v>
                </c:pt>
                <c:pt idx="116">
                  <c:v>2058</c:v>
                </c:pt>
                <c:pt idx="117">
                  <c:v>2338</c:v>
                </c:pt>
                <c:pt idx="118">
                  <c:v>2104</c:v>
                </c:pt>
                <c:pt idx="119">
                  <c:v>2488</c:v>
                </c:pt>
                <c:pt idx="120">
                  <c:v>2164</c:v>
                </c:pt>
                <c:pt idx="121">
                  <c:v>2009</c:v>
                </c:pt>
                <c:pt idx="122">
                  <c:v>399</c:v>
                </c:pt>
                <c:pt idx="123">
                  <c:v>1335</c:v>
                </c:pt>
                <c:pt idx="124">
                  <c:v>1559</c:v>
                </c:pt>
                <c:pt idx="125">
                  <c:v>1845</c:v>
                </c:pt>
                <c:pt idx="126">
                  <c:v>2046</c:v>
                </c:pt>
                <c:pt idx="127">
                  <c:v>1953</c:v>
                </c:pt>
                <c:pt idx="128">
                  <c:v>1910</c:v>
                </c:pt>
                <c:pt idx="129">
                  <c:v>2035</c:v>
                </c:pt>
                <c:pt idx="130">
                  <c:v>1944</c:v>
                </c:pt>
                <c:pt idx="131">
                  <c:v>2257</c:v>
                </c:pt>
                <c:pt idx="132">
                  <c:v>1724</c:v>
                </c:pt>
                <c:pt idx="133">
                  <c:v>1741</c:v>
                </c:pt>
                <c:pt idx="134">
                  <c:v>0</c:v>
                </c:pt>
                <c:pt idx="135">
                  <c:v>1920</c:v>
                </c:pt>
                <c:pt idx="136">
                  <c:v>1920</c:v>
                </c:pt>
                <c:pt idx="137">
                  <c:v>1920</c:v>
                </c:pt>
                <c:pt idx="138">
                  <c:v>4562</c:v>
                </c:pt>
                <c:pt idx="139">
                  <c:v>2881</c:v>
                </c:pt>
                <c:pt idx="140">
                  <c:v>1920</c:v>
                </c:pt>
                <c:pt idx="141">
                  <c:v>1920</c:v>
                </c:pt>
                <c:pt idx="142">
                  <c:v>1144</c:v>
                </c:pt>
                <c:pt idx="143">
                  <c:v>1852</c:v>
                </c:pt>
                <c:pt idx="144">
                  <c:v>2069</c:v>
                </c:pt>
                <c:pt idx="145">
                  <c:v>1816</c:v>
                </c:pt>
                <c:pt idx="146">
                  <c:v>1878</c:v>
                </c:pt>
                <c:pt idx="147">
                  <c:v>1787</c:v>
                </c:pt>
                <c:pt idx="148">
                  <c:v>2010</c:v>
                </c:pt>
                <c:pt idx="149">
                  <c:v>2038</c:v>
                </c:pt>
                <c:pt idx="150">
                  <c:v>1815</c:v>
                </c:pt>
                <c:pt idx="151">
                  <c:v>2062</c:v>
                </c:pt>
                <c:pt idx="152">
                  <c:v>1276</c:v>
                </c:pt>
                <c:pt idx="153">
                  <c:v>1288</c:v>
                </c:pt>
                <c:pt idx="154">
                  <c:v>1490</c:v>
                </c:pt>
                <c:pt idx="155">
                  <c:v>1630</c:v>
                </c:pt>
                <c:pt idx="156">
                  <c:v>1648</c:v>
                </c:pt>
                <c:pt idx="157">
                  <c:v>1649</c:v>
                </c:pt>
                <c:pt idx="158">
                  <c:v>1783</c:v>
                </c:pt>
                <c:pt idx="159">
                  <c:v>1431</c:v>
                </c:pt>
                <c:pt idx="160">
                  <c:v>1524</c:v>
                </c:pt>
                <c:pt idx="161">
                  <c:v>1697</c:v>
                </c:pt>
                <c:pt idx="162">
                  <c:v>1232</c:v>
                </c:pt>
                <c:pt idx="163">
                  <c:v>1223</c:v>
                </c:pt>
                <c:pt idx="164">
                  <c:v>182</c:v>
                </c:pt>
                <c:pt idx="165">
                  <c:v>2990</c:v>
                </c:pt>
                <c:pt idx="166">
                  <c:v>2480</c:v>
                </c:pt>
                <c:pt idx="167">
                  <c:v>2570</c:v>
                </c:pt>
                <c:pt idx="168">
                  <c:v>3016</c:v>
                </c:pt>
                <c:pt idx="169">
                  <c:v>3830</c:v>
                </c:pt>
                <c:pt idx="170">
                  <c:v>3706</c:v>
                </c:pt>
                <c:pt idx="171">
                  <c:v>2024</c:v>
                </c:pt>
                <c:pt idx="172">
                  <c:v>2980</c:v>
                </c:pt>
                <c:pt idx="173">
                  <c:v>3728</c:v>
                </c:pt>
                <c:pt idx="174">
                  <c:v>3348</c:v>
                </c:pt>
                <c:pt idx="175">
                  <c:v>3162</c:v>
                </c:pt>
                <c:pt idx="176">
                  <c:v>3140</c:v>
                </c:pt>
                <c:pt idx="177">
                  <c:v>1980</c:v>
                </c:pt>
                <c:pt idx="178">
                  <c:v>3681</c:v>
                </c:pt>
                <c:pt idx="179">
                  <c:v>3444</c:v>
                </c:pt>
                <c:pt idx="180">
                  <c:v>3510</c:v>
                </c:pt>
                <c:pt idx="181">
                  <c:v>4010</c:v>
                </c:pt>
                <c:pt idx="182">
                  <c:v>2976</c:v>
                </c:pt>
                <c:pt idx="183">
                  <c:v>3418</c:v>
                </c:pt>
                <c:pt idx="184">
                  <c:v>3439</c:v>
                </c:pt>
                <c:pt idx="185">
                  <c:v>3338</c:v>
                </c:pt>
                <c:pt idx="186">
                  <c:v>2892</c:v>
                </c:pt>
                <c:pt idx="187">
                  <c:v>3313</c:v>
                </c:pt>
                <c:pt idx="188">
                  <c:v>3118</c:v>
                </c:pt>
                <c:pt idx="189">
                  <c:v>2966</c:v>
                </c:pt>
                <c:pt idx="190">
                  <c:v>3253</c:v>
                </c:pt>
                <c:pt idx="191">
                  <c:v>3032</c:v>
                </c:pt>
                <c:pt idx="192">
                  <c:v>4034</c:v>
                </c:pt>
                <c:pt idx="193">
                  <c:v>3264</c:v>
                </c:pt>
                <c:pt idx="194">
                  <c:v>2817</c:v>
                </c:pt>
                <c:pt idx="195">
                  <c:v>2507</c:v>
                </c:pt>
                <c:pt idx="196">
                  <c:v>446</c:v>
                </c:pt>
                <c:pt idx="197">
                  <c:v>1777</c:v>
                </c:pt>
                <c:pt idx="198">
                  <c:v>1777</c:v>
                </c:pt>
                <c:pt idx="199">
                  <c:v>2453</c:v>
                </c:pt>
                <c:pt idx="200">
                  <c:v>1776</c:v>
                </c:pt>
                <c:pt idx="201">
                  <c:v>1935</c:v>
                </c:pt>
                <c:pt idx="202">
                  <c:v>1776</c:v>
                </c:pt>
                <c:pt idx="203">
                  <c:v>1870</c:v>
                </c:pt>
                <c:pt idx="204">
                  <c:v>1777</c:v>
                </c:pt>
                <c:pt idx="205">
                  <c:v>1782</c:v>
                </c:pt>
                <c:pt idx="206">
                  <c:v>1978</c:v>
                </c:pt>
                <c:pt idx="207">
                  <c:v>2296</c:v>
                </c:pt>
                <c:pt idx="208">
                  <c:v>2484</c:v>
                </c:pt>
                <c:pt idx="209">
                  <c:v>1787</c:v>
                </c:pt>
                <c:pt idx="210">
                  <c:v>1776</c:v>
                </c:pt>
                <c:pt idx="211">
                  <c:v>1776</c:v>
                </c:pt>
                <c:pt idx="212">
                  <c:v>2005</c:v>
                </c:pt>
                <c:pt idx="213">
                  <c:v>1778</c:v>
                </c:pt>
                <c:pt idx="214">
                  <c:v>2293</c:v>
                </c:pt>
                <c:pt idx="215">
                  <c:v>2259</c:v>
                </c:pt>
                <c:pt idx="216">
                  <c:v>1776</c:v>
                </c:pt>
                <c:pt idx="217">
                  <c:v>1776</c:v>
                </c:pt>
                <c:pt idx="218">
                  <c:v>1776</c:v>
                </c:pt>
                <c:pt idx="219">
                  <c:v>1776</c:v>
                </c:pt>
                <c:pt idx="220">
                  <c:v>1776</c:v>
                </c:pt>
                <c:pt idx="221">
                  <c:v>1776</c:v>
                </c:pt>
                <c:pt idx="222">
                  <c:v>1780</c:v>
                </c:pt>
                <c:pt idx="223">
                  <c:v>1778</c:v>
                </c:pt>
                <c:pt idx="224">
                  <c:v>2360</c:v>
                </c:pt>
                <c:pt idx="225">
                  <c:v>1952</c:v>
                </c:pt>
                <c:pt idx="226">
                  <c:v>2101</c:v>
                </c:pt>
                <c:pt idx="227">
                  <c:v>2393</c:v>
                </c:pt>
                <c:pt idx="228">
                  <c:v>538</c:v>
                </c:pt>
                <c:pt idx="229">
                  <c:v>1958</c:v>
                </c:pt>
                <c:pt idx="230">
                  <c:v>2141</c:v>
                </c:pt>
                <c:pt idx="231">
                  <c:v>2129</c:v>
                </c:pt>
                <c:pt idx="232">
                  <c:v>2216</c:v>
                </c:pt>
                <c:pt idx="233">
                  <c:v>2154</c:v>
                </c:pt>
                <c:pt idx="234">
                  <c:v>2178</c:v>
                </c:pt>
                <c:pt idx="235">
                  <c:v>2308</c:v>
                </c:pt>
                <c:pt idx="236">
                  <c:v>2201</c:v>
                </c:pt>
                <c:pt idx="237">
                  <c:v>2341</c:v>
                </c:pt>
                <c:pt idx="238">
                  <c:v>2236</c:v>
                </c:pt>
                <c:pt idx="239">
                  <c:v>2069</c:v>
                </c:pt>
                <c:pt idx="240">
                  <c:v>0</c:v>
                </c:pt>
                <c:pt idx="241">
                  <c:v>1878</c:v>
                </c:pt>
                <c:pt idx="242">
                  <c:v>1878</c:v>
                </c:pt>
                <c:pt idx="243">
                  <c:v>1878</c:v>
                </c:pt>
                <c:pt idx="244">
                  <c:v>1878</c:v>
                </c:pt>
                <c:pt idx="245">
                  <c:v>1878</c:v>
                </c:pt>
                <c:pt idx="246">
                  <c:v>1878</c:v>
                </c:pt>
                <c:pt idx="247">
                  <c:v>1878</c:v>
                </c:pt>
                <c:pt idx="248">
                  <c:v>1296</c:v>
                </c:pt>
                <c:pt idx="249">
                  <c:v>2010</c:v>
                </c:pt>
                <c:pt idx="250">
                  <c:v>2032</c:v>
                </c:pt>
                <c:pt idx="251">
                  <c:v>2227</c:v>
                </c:pt>
                <c:pt idx="252">
                  <c:v>2133</c:v>
                </c:pt>
                <c:pt idx="253">
                  <c:v>2317</c:v>
                </c:pt>
                <c:pt idx="254">
                  <c:v>2058</c:v>
                </c:pt>
                <c:pt idx="255">
                  <c:v>1935</c:v>
                </c:pt>
                <c:pt idx="256">
                  <c:v>2217</c:v>
                </c:pt>
                <c:pt idx="257">
                  <c:v>2374</c:v>
                </c:pt>
                <c:pt idx="258">
                  <c:v>2335</c:v>
                </c:pt>
                <c:pt idx="259">
                  <c:v>2303</c:v>
                </c:pt>
                <c:pt idx="260">
                  <c:v>2210</c:v>
                </c:pt>
                <c:pt idx="261">
                  <c:v>2424</c:v>
                </c:pt>
                <c:pt idx="262">
                  <c:v>2297</c:v>
                </c:pt>
                <c:pt idx="263">
                  <c:v>745</c:v>
                </c:pt>
                <c:pt idx="264">
                  <c:v>1902</c:v>
                </c:pt>
                <c:pt idx="265">
                  <c:v>1680</c:v>
                </c:pt>
                <c:pt idx="266">
                  <c:v>1901</c:v>
                </c:pt>
                <c:pt idx="267">
                  <c:v>2078</c:v>
                </c:pt>
                <c:pt idx="268">
                  <c:v>1876</c:v>
                </c:pt>
                <c:pt idx="269">
                  <c:v>1853</c:v>
                </c:pt>
                <c:pt idx="270">
                  <c:v>2235</c:v>
                </c:pt>
                <c:pt idx="271">
                  <c:v>1778</c:v>
                </c:pt>
                <c:pt idx="272">
                  <c:v>1882</c:v>
                </c:pt>
                <c:pt idx="273">
                  <c:v>1906</c:v>
                </c:pt>
                <c:pt idx="274">
                  <c:v>2149</c:v>
                </c:pt>
                <c:pt idx="275">
                  <c:v>722</c:v>
                </c:pt>
                <c:pt idx="276">
                  <c:v>2886</c:v>
                </c:pt>
                <c:pt idx="277">
                  <c:v>2915</c:v>
                </c:pt>
                <c:pt idx="278">
                  <c:v>2895</c:v>
                </c:pt>
                <c:pt idx="279">
                  <c:v>2923</c:v>
                </c:pt>
                <c:pt idx="280">
                  <c:v>3323</c:v>
                </c:pt>
                <c:pt idx="281">
                  <c:v>3357</c:v>
                </c:pt>
                <c:pt idx="282">
                  <c:v>2931</c:v>
                </c:pt>
                <c:pt idx="283">
                  <c:v>2848</c:v>
                </c:pt>
                <c:pt idx="284">
                  <c:v>2943</c:v>
                </c:pt>
                <c:pt idx="285">
                  <c:v>2822</c:v>
                </c:pt>
                <c:pt idx="286">
                  <c:v>2981</c:v>
                </c:pt>
                <c:pt idx="287">
                  <c:v>3597</c:v>
                </c:pt>
                <c:pt idx="288">
                  <c:v>3224</c:v>
                </c:pt>
                <c:pt idx="289">
                  <c:v>2677</c:v>
                </c:pt>
                <c:pt idx="290">
                  <c:v>0</c:v>
                </c:pt>
                <c:pt idx="291">
                  <c:v>2142</c:v>
                </c:pt>
                <c:pt idx="292">
                  <c:v>1615</c:v>
                </c:pt>
                <c:pt idx="293">
                  <c:v>1481</c:v>
                </c:pt>
                <c:pt idx="294">
                  <c:v>1892</c:v>
                </c:pt>
                <c:pt idx="295">
                  <c:v>2086</c:v>
                </c:pt>
                <c:pt idx="296">
                  <c:v>2044</c:v>
                </c:pt>
                <c:pt idx="297">
                  <c:v>2249</c:v>
                </c:pt>
                <c:pt idx="298">
                  <c:v>2019</c:v>
                </c:pt>
                <c:pt idx="299">
                  <c:v>1692</c:v>
                </c:pt>
                <c:pt idx="300">
                  <c:v>1712</c:v>
                </c:pt>
                <c:pt idx="301">
                  <c:v>2065</c:v>
                </c:pt>
                <c:pt idx="302">
                  <c:v>633</c:v>
                </c:pt>
                <c:pt idx="303">
                  <c:v>3625</c:v>
                </c:pt>
                <c:pt idx="304">
                  <c:v>4430</c:v>
                </c:pt>
                <c:pt idx="305">
                  <c:v>3427</c:v>
                </c:pt>
                <c:pt idx="306">
                  <c:v>3492</c:v>
                </c:pt>
                <c:pt idx="307">
                  <c:v>3597</c:v>
                </c:pt>
                <c:pt idx="308">
                  <c:v>3765</c:v>
                </c:pt>
                <c:pt idx="309">
                  <c:v>2775</c:v>
                </c:pt>
                <c:pt idx="310">
                  <c:v>2486</c:v>
                </c:pt>
                <c:pt idx="311">
                  <c:v>3817</c:v>
                </c:pt>
                <c:pt idx="312">
                  <c:v>3378</c:v>
                </c:pt>
                <c:pt idx="313">
                  <c:v>1511</c:v>
                </c:pt>
                <c:pt idx="314">
                  <c:v>2210</c:v>
                </c:pt>
                <c:pt idx="315">
                  <c:v>2884</c:v>
                </c:pt>
                <c:pt idx="316">
                  <c:v>1496</c:v>
                </c:pt>
                <c:pt idx="317">
                  <c:v>2262</c:v>
                </c:pt>
                <c:pt idx="318">
                  <c:v>2445</c:v>
                </c:pt>
                <c:pt idx="319">
                  <c:v>2694</c:v>
                </c:pt>
                <c:pt idx="320">
                  <c:v>1903</c:v>
                </c:pt>
                <c:pt idx="321">
                  <c:v>2482</c:v>
                </c:pt>
                <c:pt idx="322">
                  <c:v>2617</c:v>
                </c:pt>
                <c:pt idx="323">
                  <c:v>0</c:v>
                </c:pt>
                <c:pt idx="324">
                  <c:v>2778</c:v>
                </c:pt>
                <c:pt idx="325">
                  <c:v>3119</c:v>
                </c:pt>
                <c:pt idx="326">
                  <c:v>2664</c:v>
                </c:pt>
                <c:pt idx="327">
                  <c:v>2060</c:v>
                </c:pt>
                <c:pt idx="328">
                  <c:v>2060</c:v>
                </c:pt>
                <c:pt idx="329">
                  <c:v>2060</c:v>
                </c:pt>
                <c:pt idx="330">
                  <c:v>2060</c:v>
                </c:pt>
                <c:pt idx="331">
                  <c:v>2060</c:v>
                </c:pt>
                <c:pt idx="332">
                  <c:v>2060</c:v>
                </c:pt>
                <c:pt idx="333">
                  <c:v>735</c:v>
                </c:pt>
                <c:pt idx="334">
                  <c:v>1820</c:v>
                </c:pt>
                <c:pt idx="335">
                  <c:v>2224</c:v>
                </c:pt>
                <c:pt idx="336">
                  <c:v>1820</c:v>
                </c:pt>
                <c:pt idx="337">
                  <c:v>1820</c:v>
                </c:pt>
                <c:pt idx="338">
                  <c:v>2442</c:v>
                </c:pt>
                <c:pt idx="339">
                  <c:v>1849</c:v>
                </c:pt>
                <c:pt idx="340">
                  <c:v>1822</c:v>
                </c:pt>
                <c:pt idx="341">
                  <c:v>1820</c:v>
                </c:pt>
                <c:pt idx="342">
                  <c:v>251</c:v>
                </c:pt>
                <c:pt idx="343">
                  <c:v>3065</c:v>
                </c:pt>
                <c:pt idx="344">
                  <c:v>2207</c:v>
                </c:pt>
                <c:pt idx="345">
                  <c:v>1977</c:v>
                </c:pt>
                <c:pt idx="346">
                  <c:v>1841</c:v>
                </c:pt>
                <c:pt idx="347">
                  <c:v>4286</c:v>
                </c:pt>
                <c:pt idx="348">
                  <c:v>3920</c:v>
                </c:pt>
                <c:pt idx="349">
                  <c:v>3856</c:v>
                </c:pt>
                <c:pt idx="350">
                  <c:v>2584</c:v>
                </c:pt>
                <c:pt idx="351">
                  <c:v>787</c:v>
                </c:pt>
                <c:pt idx="352">
                  <c:v>2244</c:v>
                </c:pt>
                <c:pt idx="353">
                  <c:v>2188</c:v>
                </c:pt>
                <c:pt idx="354">
                  <c:v>2014</c:v>
                </c:pt>
                <c:pt idx="355">
                  <c:v>2115</c:v>
                </c:pt>
                <c:pt idx="356">
                  <c:v>2055</c:v>
                </c:pt>
                <c:pt idx="357">
                  <c:v>2437</c:v>
                </c:pt>
                <c:pt idx="358">
                  <c:v>2158</c:v>
                </c:pt>
                <c:pt idx="359">
                  <c:v>2170</c:v>
                </c:pt>
                <c:pt idx="360">
                  <c:v>2244</c:v>
                </c:pt>
                <c:pt idx="361">
                  <c:v>2188</c:v>
                </c:pt>
                <c:pt idx="362">
                  <c:v>2231</c:v>
                </c:pt>
                <c:pt idx="363">
                  <c:v>2100</c:v>
                </c:pt>
                <c:pt idx="364">
                  <c:v>2188</c:v>
                </c:pt>
                <c:pt idx="365">
                  <c:v>917</c:v>
                </c:pt>
                <c:pt idx="366">
                  <c:v>2573</c:v>
                </c:pt>
                <c:pt idx="367">
                  <c:v>2575</c:v>
                </c:pt>
                <c:pt idx="368">
                  <c:v>3086</c:v>
                </c:pt>
                <c:pt idx="369">
                  <c:v>2886</c:v>
                </c:pt>
                <c:pt idx="370">
                  <c:v>2676</c:v>
                </c:pt>
                <c:pt idx="371">
                  <c:v>2811</c:v>
                </c:pt>
                <c:pt idx="372">
                  <c:v>2840</c:v>
                </c:pt>
                <c:pt idx="373">
                  <c:v>2871</c:v>
                </c:pt>
                <c:pt idx="374">
                  <c:v>2613</c:v>
                </c:pt>
                <c:pt idx="375">
                  <c:v>2700</c:v>
                </c:pt>
                <c:pt idx="376">
                  <c:v>2871</c:v>
                </c:pt>
                <c:pt idx="377">
                  <c:v>1023</c:v>
                </c:pt>
                <c:pt idx="378">
                  <c:v>2496</c:v>
                </c:pt>
                <c:pt idx="379">
                  <c:v>1641</c:v>
                </c:pt>
                <c:pt idx="380">
                  <c:v>1794</c:v>
                </c:pt>
                <c:pt idx="381">
                  <c:v>2421</c:v>
                </c:pt>
                <c:pt idx="382">
                  <c:v>2439</c:v>
                </c:pt>
                <c:pt idx="383">
                  <c:v>2233</c:v>
                </c:pt>
                <c:pt idx="384">
                  <c:v>2862</c:v>
                </c:pt>
                <c:pt idx="385">
                  <c:v>2752</c:v>
                </c:pt>
                <c:pt idx="386">
                  <c:v>2519</c:v>
                </c:pt>
                <c:pt idx="387">
                  <c:v>1799</c:v>
                </c:pt>
                <c:pt idx="388">
                  <c:v>2543</c:v>
                </c:pt>
                <c:pt idx="389">
                  <c:v>625</c:v>
                </c:pt>
                <c:pt idx="390">
                  <c:v>3377</c:v>
                </c:pt>
                <c:pt idx="391">
                  <c:v>3697</c:v>
                </c:pt>
                <c:pt idx="392">
                  <c:v>3209</c:v>
                </c:pt>
                <c:pt idx="393">
                  <c:v>3167</c:v>
                </c:pt>
                <c:pt idx="394">
                  <c:v>3122</c:v>
                </c:pt>
                <c:pt idx="395">
                  <c:v>3176</c:v>
                </c:pt>
                <c:pt idx="396">
                  <c:v>2790</c:v>
                </c:pt>
                <c:pt idx="397">
                  <c:v>2715</c:v>
                </c:pt>
                <c:pt idx="398">
                  <c:v>2684</c:v>
                </c:pt>
                <c:pt idx="399">
                  <c:v>3097</c:v>
                </c:pt>
                <c:pt idx="400">
                  <c:v>791</c:v>
                </c:pt>
                <c:pt idx="401">
                  <c:v>1429</c:v>
                </c:pt>
                <c:pt idx="402">
                  <c:v>1429</c:v>
                </c:pt>
                <c:pt idx="403">
                  <c:v>1429</c:v>
                </c:pt>
                <c:pt idx="404">
                  <c:v>1429</c:v>
                </c:pt>
                <c:pt idx="405">
                  <c:v>1429</c:v>
                </c:pt>
                <c:pt idx="406">
                  <c:v>1607</c:v>
                </c:pt>
                <c:pt idx="407">
                  <c:v>1776</c:v>
                </c:pt>
                <c:pt idx="408">
                  <c:v>2162</c:v>
                </c:pt>
                <c:pt idx="409">
                  <c:v>1832</c:v>
                </c:pt>
                <c:pt idx="410">
                  <c:v>1657</c:v>
                </c:pt>
                <c:pt idx="411">
                  <c:v>1377</c:v>
                </c:pt>
                <c:pt idx="412">
                  <c:v>0</c:v>
                </c:pt>
                <c:pt idx="413">
                  <c:v>3669</c:v>
                </c:pt>
                <c:pt idx="414">
                  <c:v>2702</c:v>
                </c:pt>
                <c:pt idx="415">
                  <c:v>3304</c:v>
                </c:pt>
                <c:pt idx="416">
                  <c:v>4234</c:v>
                </c:pt>
                <c:pt idx="417">
                  <c:v>4128</c:v>
                </c:pt>
                <c:pt idx="418">
                  <c:v>3798</c:v>
                </c:pt>
                <c:pt idx="419">
                  <c:v>3839</c:v>
                </c:pt>
                <c:pt idx="420">
                  <c:v>3713</c:v>
                </c:pt>
                <c:pt idx="421">
                  <c:v>2606</c:v>
                </c:pt>
                <c:pt idx="422">
                  <c:v>2624</c:v>
                </c:pt>
                <c:pt idx="423">
                  <c:v>3775</c:v>
                </c:pt>
                <c:pt idx="424">
                  <c:v>1882</c:v>
                </c:pt>
                <c:pt idx="425">
                  <c:v>2360</c:v>
                </c:pt>
                <c:pt idx="426">
                  <c:v>2517</c:v>
                </c:pt>
                <c:pt idx="427">
                  <c:v>2400</c:v>
                </c:pt>
                <c:pt idx="428">
                  <c:v>2462</c:v>
                </c:pt>
                <c:pt idx="429">
                  <c:v>2786</c:v>
                </c:pt>
                <c:pt idx="430">
                  <c:v>2354</c:v>
                </c:pt>
                <c:pt idx="431">
                  <c:v>2437</c:v>
                </c:pt>
                <c:pt idx="432">
                  <c:v>1814</c:v>
                </c:pt>
                <c:pt idx="433">
                  <c:v>2260</c:v>
                </c:pt>
                <c:pt idx="434">
                  <c:v>3004</c:v>
                </c:pt>
                <c:pt idx="435">
                  <c:v>2667</c:v>
                </c:pt>
                <c:pt idx="436">
                  <c:v>2229</c:v>
                </c:pt>
                <c:pt idx="437">
                  <c:v>2100</c:v>
                </c:pt>
                <c:pt idx="438">
                  <c:v>2114</c:v>
                </c:pt>
                <c:pt idx="439">
                  <c:v>1961</c:v>
                </c:pt>
                <c:pt idx="440">
                  <c:v>1953</c:v>
                </c:pt>
                <c:pt idx="441">
                  <c:v>1890</c:v>
                </c:pt>
                <c:pt idx="442">
                  <c:v>2253</c:v>
                </c:pt>
                <c:pt idx="443">
                  <c:v>1725</c:v>
                </c:pt>
                <c:pt idx="444">
                  <c:v>728</c:v>
                </c:pt>
                <c:pt idx="445">
                  <c:v>3527</c:v>
                </c:pt>
                <c:pt idx="446">
                  <c:v>4220</c:v>
                </c:pt>
                <c:pt idx="447">
                  <c:v>3864</c:v>
                </c:pt>
                <c:pt idx="448">
                  <c:v>3662</c:v>
                </c:pt>
                <c:pt idx="449">
                  <c:v>2834</c:v>
                </c:pt>
                <c:pt idx="450">
                  <c:v>4039</c:v>
                </c:pt>
                <c:pt idx="451">
                  <c:v>2947</c:v>
                </c:pt>
                <c:pt idx="452">
                  <c:v>4196</c:v>
                </c:pt>
                <c:pt idx="453">
                  <c:v>3841</c:v>
                </c:pt>
                <c:pt idx="454">
                  <c:v>4526</c:v>
                </c:pt>
                <c:pt idx="455">
                  <c:v>2820</c:v>
                </c:pt>
                <c:pt idx="456">
                  <c:v>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6-4377-B962-110F57E7E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066304"/>
        <c:axId val="557063824"/>
      </c:scatterChart>
      <c:valAx>
        <c:axId val="55706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7063824"/>
        <c:crosses val="autoZero"/>
        <c:crossBetween val="midCat"/>
      </c:valAx>
      <c:valAx>
        <c:axId val="5570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706630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[Anlaysis bellaBeat.xlsx]Weekdays vs Weekends!PivotTable2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'Weekdays vs Weekends'!$B$3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'Weekdays vs Weekends'!$A$4:$A$36</c:f>
              <c:strCache>
                <c:ptCount val="32"/>
                <c:pt idx="0">
                  <c:v>12/03/2016</c:v>
                </c:pt>
                <c:pt idx="1">
                  <c:v>13/03/2016</c:v>
                </c:pt>
                <c:pt idx="2">
                  <c:v>14/03/2016</c:v>
                </c:pt>
                <c:pt idx="3">
                  <c:v>15/03/2016</c:v>
                </c:pt>
                <c:pt idx="4">
                  <c:v>16/03/2016</c:v>
                </c:pt>
                <c:pt idx="5">
                  <c:v>17/03/2016</c:v>
                </c:pt>
                <c:pt idx="6">
                  <c:v>18/03/2016</c:v>
                </c:pt>
                <c:pt idx="7">
                  <c:v>19/03/2016</c:v>
                </c:pt>
                <c:pt idx="8">
                  <c:v>20/03/2016</c:v>
                </c:pt>
                <c:pt idx="9">
                  <c:v>21/03/2016</c:v>
                </c:pt>
                <c:pt idx="10">
                  <c:v>22/03/2016</c:v>
                </c:pt>
                <c:pt idx="11">
                  <c:v>23/03/2016</c:v>
                </c:pt>
                <c:pt idx="12">
                  <c:v>24/03/2016</c:v>
                </c:pt>
                <c:pt idx="13">
                  <c:v>25/03/2016</c:v>
                </c:pt>
                <c:pt idx="14">
                  <c:v>26/03/2016</c:v>
                </c:pt>
                <c:pt idx="15">
                  <c:v>27/03/2016</c:v>
                </c:pt>
                <c:pt idx="16">
                  <c:v>28/03/2016</c:v>
                </c:pt>
                <c:pt idx="17">
                  <c:v>29/03/2016</c:v>
                </c:pt>
                <c:pt idx="18">
                  <c:v>30/03/2016</c:v>
                </c:pt>
                <c:pt idx="19">
                  <c:v>31/03/2016</c:v>
                </c:pt>
                <c:pt idx="20">
                  <c:v>01/04/2016</c:v>
                </c:pt>
                <c:pt idx="21">
                  <c:v>02/04/2016</c:v>
                </c:pt>
                <c:pt idx="22">
                  <c:v>03/04/2016</c:v>
                </c:pt>
                <c:pt idx="23">
                  <c:v>04/04/2016</c:v>
                </c:pt>
                <c:pt idx="24">
                  <c:v>05/04/2016</c:v>
                </c:pt>
                <c:pt idx="25">
                  <c:v>06/04/2016</c:v>
                </c:pt>
                <c:pt idx="26">
                  <c:v>07/04/2016</c:v>
                </c:pt>
                <c:pt idx="27">
                  <c:v>08/04/2016</c:v>
                </c:pt>
                <c:pt idx="28">
                  <c:v>09/04/2016</c:v>
                </c:pt>
                <c:pt idx="29">
                  <c:v>10/04/2016</c:v>
                </c:pt>
                <c:pt idx="30">
                  <c:v>11/04/2016</c:v>
                </c:pt>
                <c:pt idx="31">
                  <c:v>12/04/2016</c:v>
                </c:pt>
              </c:strCache>
            </c:strRef>
          </c:cat>
          <c:val>
            <c:numRef>
              <c:f>'Weekdays vs Weekends'!$B$4:$B$36</c:f>
              <c:numCache>
                <c:formatCode>General</c:formatCode>
                <c:ptCount val="32"/>
                <c:pt idx="0">
                  <c:v>2771.5</c:v>
                </c:pt>
                <c:pt idx="1">
                  <c:v>1613</c:v>
                </c:pt>
                <c:pt idx="2">
                  <c:v>5728</c:v>
                </c:pt>
                <c:pt idx="3">
                  <c:v>2953</c:v>
                </c:pt>
                <c:pt idx="4">
                  <c:v>7311</c:v>
                </c:pt>
                <c:pt idx="5">
                  <c:v>4470</c:v>
                </c:pt>
                <c:pt idx="6">
                  <c:v>658.5</c:v>
                </c:pt>
                <c:pt idx="7">
                  <c:v>2851</c:v>
                </c:pt>
                <c:pt idx="8">
                  <c:v>5187</c:v>
                </c:pt>
                <c:pt idx="9">
                  <c:v>5719</c:v>
                </c:pt>
                <c:pt idx="10">
                  <c:v>6111.5</c:v>
                </c:pt>
                <c:pt idx="11">
                  <c:v>6774</c:v>
                </c:pt>
                <c:pt idx="12">
                  <c:v>979</c:v>
                </c:pt>
                <c:pt idx="13">
                  <c:v>4594.25</c:v>
                </c:pt>
                <c:pt idx="14">
                  <c:v>5698.5</c:v>
                </c:pt>
                <c:pt idx="15">
                  <c:v>6035</c:v>
                </c:pt>
                <c:pt idx="16">
                  <c:v>4312.5</c:v>
                </c:pt>
                <c:pt idx="17">
                  <c:v>4760.6000000000004</c:v>
                </c:pt>
                <c:pt idx="18">
                  <c:v>6246.727272727273</c:v>
                </c:pt>
                <c:pt idx="19">
                  <c:v>5905.272727272727</c:v>
                </c:pt>
                <c:pt idx="20">
                  <c:v>6693.424242424242</c:v>
                </c:pt>
                <c:pt idx="21">
                  <c:v>7345.9428571428571</c:v>
                </c:pt>
                <c:pt idx="22">
                  <c:v>6178.2285714285717</c:v>
                </c:pt>
                <c:pt idx="23">
                  <c:v>7345.3142857142857</c:v>
                </c:pt>
                <c:pt idx="24">
                  <c:v>7165</c:v>
                </c:pt>
                <c:pt idx="25">
                  <c:v>7988.787878787879</c:v>
                </c:pt>
                <c:pt idx="26">
                  <c:v>7660.727272727273</c:v>
                </c:pt>
                <c:pt idx="27">
                  <c:v>7614.090909090909</c:v>
                </c:pt>
                <c:pt idx="28">
                  <c:v>7518.3125</c:v>
                </c:pt>
                <c:pt idx="29">
                  <c:v>6282.7241379310344</c:v>
                </c:pt>
                <c:pt idx="30">
                  <c:v>7473.36</c:v>
                </c:pt>
                <c:pt idx="31">
                  <c:v>1761.625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1-4AAC-ADB4-E8C58CFABC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7278464"/>
        <c:axId val="547280944"/>
      </c:lineChart>
      <c:catAx>
        <c:axId val="54727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7280944"/>
        <c:crosses val="autoZero"/>
        <c:auto val="1"/>
        <c:lblAlgn val="ctr"/>
        <c:lblOffset val="100"/>
        <c:noMultiLvlLbl val="0"/>
      </c:catAx>
      <c:valAx>
        <c:axId val="5472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727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[Anlaysis bellaBeat.xlsx]Weekdays vs Weekends!PivotTable7</c:name>
    <c:fmtId val="1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'Weekdays vs Weekends'!$N$4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'Weekdays vs Weekends'!$M$5:$M$7</c:f>
              <c:strCache>
                <c:ptCount val="2"/>
                <c:pt idx="0">
                  <c:v>weekdays</c:v>
                </c:pt>
                <c:pt idx="1">
                  <c:v>weekends</c:v>
                </c:pt>
              </c:strCache>
            </c:strRef>
          </c:cat>
          <c:val>
            <c:numRef>
              <c:f>'Weekdays vs Weekends'!$N$5:$N$7</c:f>
              <c:numCache>
                <c:formatCode>0</c:formatCode>
                <c:ptCount val="2"/>
                <c:pt idx="0">
                  <c:v>6549.7378640776697</c:v>
                </c:pt>
                <c:pt idx="1">
                  <c:v>6584.4217687074834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2-4D58-8B25-50E011A3259B}"/>
            </c:ext>
          </c:extLst>
        </c:ser>
        <c:ser>
          <c:idx val="1"/>
          <c:order val="1"/>
          <c:tx>
            <c:strRef>
              <c:f>'Weekdays vs Weekends'!$O$4</c:f>
              <c:strCache>
                <c:ptCount val="1"/>
                <c:pt idx="0">
                  <c:v>Average of Calories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'Weekdays vs Weekends'!$M$5:$M$7</c:f>
              <c:strCache>
                <c:ptCount val="2"/>
                <c:pt idx="0">
                  <c:v>weekdays</c:v>
                </c:pt>
                <c:pt idx="1">
                  <c:v>weekends</c:v>
                </c:pt>
              </c:strCache>
            </c:strRef>
          </c:cat>
          <c:val>
            <c:numRef>
              <c:f>'Weekdays vs Weekends'!$O$5:$O$7</c:f>
              <c:numCache>
                <c:formatCode>0</c:formatCode>
                <c:ptCount val="2"/>
                <c:pt idx="0">
                  <c:v>2165.4757281553398</c:v>
                </c:pt>
                <c:pt idx="1">
                  <c:v>2223.7142857142858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62-4D58-8B25-50E011A3259B}"/>
            </c:ext>
          </c:extLst>
        </c:ser>
        <c:ser>
          <c:idx val="2"/>
          <c:order val="2"/>
          <c:tx>
            <c:strRef>
              <c:f>'Weekdays vs Weekends'!$P$4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'Weekdays vs Weekends'!$M$5:$M$7</c:f>
              <c:strCache>
                <c:ptCount val="2"/>
                <c:pt idx="0">
                  <c:v>weekdays</c:v>
                </c:pt>
                <c:pt idx="1">
                  <c:v>weekends</c:v>
                </c:pt>
              </c:strCache>
            </c:strRef>
          </c:cat>
          <c:val>
            <c:numRef>
              <c:f>'Weekdays vs Weekends'!$P$5:$P$7</c:f>
              <c:numCache>
                <c:formatCode>0</c:formatCode>
                <c:ptCount val="2"/>
                <c:pt idx="0">
                  <c:v>995.76051779935278</c:v>
                </c:pt>
                <c:pt idx="1">
                  <c:v>995.7414965986394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62-4D58-8B25-50E011A32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288880"/>
        <c:axId val="547292352"/>
      </c:barChart>
      <c:catAx>
        <c:axId val="5472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7292352"/>
        <c:crosses val="autoZero"/>
        <c:auto val="1"/>
        <c:lblAlgn val="ctr"/>
        <c:lblOffset val="100"/>
        <c:noMultiLvlLbl val="0"/>
      </c:catAx>
      <c:valAx>
        <c:axId val="54729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7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[Anlaysis bellaBeat.xlsx]Activity_Intensity!PivotTable4</c:name>
    <c:fmtId val="0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Activity_Intensity!$A$3</c:f>
              <c:strCache>
                <c:ptCount val="1"/>
                <c:pt idx="0">
                  <c:v>Average of VeryActiveMinutes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Activity_Intensity!$A$4</c:f>
              <c:numCache>
                <c:formatCode>0</c:formatCode>
                <c:ptCount val="1"/>
                <c:pt idx="0">
                  <c:v>16.660087719298247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7-47C4-BFDE-84CC9E43A40B}"/>
            </c:ext>
          </c:extLst>
        </c:ser>
        <c:ser>
          <c:idx val="1"/>
          <c:order val="1"/>
          <c:tx>
            <c:strRef>
              <c:f>Activity_Intensity!$B$3</c:f>
              <c:strCache>
                <c:ptCount val="1"/>
                <c:pt idx="0">
                  <c:v>Average of FairlyActiveMinutes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Activity_Intensity!$B$4</c:f>
              <c:numCache>
                <c:formatCode>0</c:formatCode>
                <c:ptCount val="1"/>
                <c:pt idx="0">
                  <c:v>11.651315789473685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7-47C4-BFDE-84CC9E43A40B}"/>
            </c:ext>
          </c:extLst>
        </c:ser>
        <c:ser>
          <c:idx val="2"/>
          <c:order val="2"/>
          <c:tx>
            <c:strRef>
              <c:f>Activity_Intensity!$C$3</c:f>
              <c:strCache>
                <c:ptCount val="1"/>
                <c:pt idx="0">
                  <c:v>Average of LightlyActiveMinutes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Activity_Intensity!$C$4</c:f>
              <c:numCache>
                <c:formatCode>0</c:formatCode>
                <c:ptCount val="1"/>
                <c:pt idx="0">
                  <c:v>170.44298245614036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7-47C4-BFDE-84CC9E43A40B}"/>
            </c:ext>
          </c:extLst>
        </c:ser>
        <c:ser>
          <c:idx val="3"/>
          <c:order val="3"/>
          <c:tx>
            <c:strRef>
              <c:f>Activity_Intensity!$D$3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Activity_Intensity!$D$4</c:f>
              <c:numCache>
                <c:formatCode>0</c:formatCode>
                <c:ptCount val="1"/>
                <c:pt idx="0">
                  <c:v>995.75438596491233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7-47C4-BFDE-84CC9E43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402224"/>
        <c:axId val="2104403216"/>
      </c:barChart>
      <c:catAx>
        <c:axId val="21044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403216"/>
        <c:crosses val="autoZero"/>
        <c:auto val="1"/>
        <c:lblAlgn val="ctr"/>
        <c:lblOffset val="100"/>
        <c:noMultiLvlLbl val="0"/>
      </c:catAx>
      <c:valAx>
        <c:axId val="21044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40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dailyActivity_merged!$O$1</c:f>
              <c:strCache>
                <c:ptCount val="1"/>
                <c:pt idx="0">
                  <c:v>Calories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dailyActivity_merged!$C$2:$C$458</c:f>
              <c:numCache>
                <c:formatCode>General</c:formatCode>
                <c:ptCount val="457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224</c:v>
                </c:pt>
                <c:pt idx="19">
                  <c:v>1810</c:v>
                </c:pt>
                <c:pt idx="20">
                  <c:v>815</c:v>
                </c:pt>
                <c:pt idx="21">
                  <c:v>1985</c:v>
                </c:pt>
                <c:pt idx="22">
                  <c:v>1905</c:v>
                </c:pt>
                <c:pt idx="23">
                  <c:v>1552</c:v>
                </c:pt>
                <c:pt idx="24">
                  <c:v>1675</c:v>
                </c:pt>
                <c:pt idx="25">
                  <c:v>4506</c:v>
                </c:pt>
                <c:pt idx="26">
                  <c:v>9218</c:v>
                </c:pt>
                <c:pt idx="27">
                  <c:v>1556</c:v>
                </c:pt>
                <c:pt idx="28">
                  <c:v>2910</c:v>
                </c:pt>
                <c:pt idx="29">
                  <c:v>18464</c:v>
                </c:pt>
                <c:pt idx="30">
                  <c:v>1335</c:v>
                </c:pt>
                <c:pt idx="31">
                  <c:v>1004</c:v>
                </c:pt>
                <c:pt idx="32">
                  <c:v>1111</c:v>
                </c:pt>
                <c:pt idx="33">
                  <c:v>6344</c:v>
                </c:pt>
                <c:pt idx="34">
                  <c:v>3572</c:v>
                </c:pt>
                <c:pt idx="35">
                  <c:v>3910</c:v>
                </c:pt>
                <c:pt idx="36">
                  <c:v>10000</c:v>
                </c:pt>
                <c:pt idx="37">
                  <c:v>6627</c:v>
                </c:pt>
                <c:pt idx="38">
                  <c:v>4636</c:v>
                </c:pt>
                <c:pt idx="39">
                  <c:v>20237</c:v>
                </c:pt>
                <c:pt idx="40">
                  <c:v>12912</c:v>
                </c:pt>
                <c:pt idx="41">
                  <c:v>2819</c:v>
                </c:pt>
                <c:pt idx="42">
                  <c:v>9921</c:v>
                </c:pt>
                <c:pt idx="43">
                  <c:v>8046</c:v>
                </c:pt>
                <c:pt idx="44">
                  <c:v>11166</c:v>
                </c:pt>
                <c:pt idx="45">
                  <c:v>7842</c:v>
                </c:pt>
                <c:pt idx="46">
                  <c:v>13840</c:v>
                </c:pt>
                <c:pt idx="47">
                  <c:v>1329</c:v>
                </c:pt>
                <c:pt idx="48">
                  <c:v>6847</c:v>
                </c:pt>
                <c:pt idx="49">
                  <c:v>5367</c:v>
                </c:pt>
                <c:pt idx="50">
                  <c:v>2841</c:v>
                </c:pt>
                <c:pt idx="51">
                  <c:v>0</c:v>
                </c:pt>
                <c:pt idx="52">
                  <c:v>0</c:v>
                </c:pt>
                <c:pt idx="53">
                  <c:v>7</c:v>
                </c:pt>
                <c:pt idx="54">
                  <c:v>6344</c:v>
                </c:pt>
                <c:pt idx="55">
                  <c:v>5316</c:v>
                </c:pt>
                <c:pt idx="56">
                  <c:v>4979</c:v>
                </c:pt>
                <c:pt idx="57">
                  <c:v>6556</c:v>
                </c:pt>
                <c:pt idx="58">
                  <c:v>5430</c:v>
                </c:pt>
                <c:pt idx="59">
                  <c:v>0</c:v>
                </c:pt>
                <c:pt idx="60">
                  <c:v>4317</c:v>
                </c:pt>
                <c:pt idx="61">
                  <c:v>5662</c:v>
                </c:pt>
                <c:pt idx="62">
                  <c:v>3198</c:v>
                </c:pt>
                <c:pt idx="63">
                  <c:v>2352</c:v>
                </c:pt>
                <c:pt idx="64">
                  <c:v>2234</c:v>
                </c:pt>
                <c:pt idx="65">
                  <c:v>1259</c:v>
                </c:pt>
                <c:pt idx="66">
                  <c:v>768</c:v>
                </c:pt>
                <c:pt idx="67">
                  <c:v>519</c:v>
                </c:pt>
                <c:pt idx="68">
                  <c:v>2523</c:v>
                </c:pt>
                <c:pt idx="69">
                  <c:v>2105</c:v>
                </c:pt>
                <c:pt idx="70">
                  <c:v>1209</c:v>
                </c:pt>
                <c:pt idx="71">
                  <c:v>24</c:v>
                </c:pt>
                <c:pt idx="72">
                  <c:v>13603</c:v>
                </c:pt>
                <c:pt idx="73">
                  <c:v>5477</c:v>
                </c:pt>
                <c:pt idx="74">
                  <c:v>11144</c:v>
                </c:pt>
                <c:pt idx="75">
                  <c:v>15313</c:v>
                </c:pt>
                <c:pt idx="76">
                  <c:v>10805</c:v>
                </c:pt>
                <c:pt idx="77">
                  <c:v>15392</c:v>
                </c:pt>
                <c:pt idx="78">
                  <c:v>18247</c:v>
                </c:pt>
                <c:pt idx="79">
                  <c:v>13023</c:v>
                </c:pt>
                <c:pt idx="80">
                  <c:v>16267</c:v>
                </c:pt>
                <c:pt idx="81">
                  <c:v>10005</c:v>
                </c:pt>
                <c:pt idx="82">
                  <c:v>10106</c:v>
                </c:pt>
                <c:pt idx="83">
                  <c:v>6717</c:v>
                </c:pt>
                <c:pt idx="84">
                  <c:v>2605</c:v>
                </c:pt>
                <c:pt idx="85">
                  <c:v>1229</c:v>
                </c:pt>
                <c:pt idx="86">
                  <c:v>2308</c:v>
                </c:pt>
                <c:pt idx="87">
                  <c:v>6679</c:v>
                </c:pt>
                <c:pt idx="88">
                  <c:v>5645</c:v>
                </c:pt>
                <c:pt idx="89">
                  <c:v>3180</c:v>
                </c:pt>
                <c:pt idx="90">
                  <c:v>2767</c:v>
                </c:pt>
                <c:pt idx="91">
                  <c:v>3762</c:v>
                </c:pt>
                <c:pt idx="92">
                  <c:v>3098</c:v>
                </c:pt>
                <c:pt idx="93">
                  <c:v>5142</c:v>
                </c:pt>
                <c:pt idx="94">
                  <c:v>3279</c:v>
                </c:pt>
                <c:pt idx="95">
                  <c:v>1019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4931</c:v>
                </c:pt>
                <c:pt idx="101">
                  <c:v>6999</c:v>
                </c:pt>
                <c:pt idx="102">
                  <c:v>1846</c:v>
                </c:pt>
                <c:pt idx="103">
                  <c:v>3417</c:v>
                </c:pt>
                <c:pt idx="104">
                  <c:v>4863</c:v>
                </c:pt>
                <c:pt idx="105">
                  <c:v>2277</c:v>
                </c:pt>
                <c:pt idx="106">
                  <c:v>11230</c:v>
                </c:pt>
                <c:pt idx="107">
                  <c:v>2098</c:v>
                </c:pt>
                <c:pt idx="108">
                  <c:v>10272</c:v>
                </c:pt>
                <c:pt idx="109">
                  <c:v>10533</c:v>
                </c:pt>
                <c:pt idx="110">
                  <c:v>6760</c:v>
                </c:pt>
                <c:pt idx="111">
                  <c:v>8328</c:v>
                </c:pt>
                <c:pt idx="112">
                  <c:v>15459</c:v>
                </c:pt>
                <c:pt idx="113">
                  <c:v>7485</c:v>
                </c:pt>
                <c:pt idx="114">
                  <c:v>10254</c:v>
                </c:pt>
                <c:pt idx="115">
                  <c:v>10114</c:v>
                </c:pt>
                <c:pt idx="116">
                  <c:v>11107</c:v>
                </c:pt>
                <c:pt idx="117">
                  <c:v>10320</c:v>
                </c:pt>
                <c:pt idx="118">
                  <c:v>10209</c:v>
                </c:pt>
                <c:pt idx="119">
                  <c:v>16081</c:v>
                </c:pt>
                <c:pt idx="120">
                  <c:v>10078</c:v>
                </c:pt>
                <c:pt idx="121">
                  <c:v>10001</c:v>
                </c:pt>
                <c:pt idx="122">
                  <c:v>0</c:v>
                </c:pt>
                <c:pt idx="123">
                  <c:v>890</c:v>
                </c:pt>
                <c:pt idx="124">
                  <c:v>2214</c:v>
                </c:pt>
                <c:pt idx="125">
                  <c:v>7640</c:v>
                </c:pt>
                <c:pt idx="126">
                  <c:v>9713</c:v>
                </c:pt>
                <c:pt idx="127">
                  <c:v>8432</c:v>
                </c:pt>
                <c:pt idx="128">
                  <c:v>7350</c:v>
                </c:pt>
                <c:pt idx="129">
                  <c:v>9353</c:v>
                </c:pt>
                <c:pt idx="130">
                  <c:v>7157</c:v>
                </c:pt>
                <c:pt idx="131">
                  <c:v>14103</c:v>
                </c:pt>
                <c:pt idx="132">
                  <c:v>5290</c:v>
                </c:pt>
                <c:pt idx="133">
                  <c:v>7497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4126</c:v>
                </c:pt>
                <c:pt idx="140">
                  <c:v>0</c:v>
                </c:pt>
                <c:pt idx="141">
                  <c:v>0</c:v>
                </c:pt>
                <c:pt idx="142">
                  <c:v>2063</c:v>
                </c:pt>
                <c:pt idx="143">
                  <c:v>5785</c:v>
                </c:pt>
                <c:pt idx="144">
                  <c:v>7625</c:v>
                </c:pt>
                <c:pt idx="145">
                  <c:v>4706</c:v>
                </c:pt>
                <c:pt idx="146">
                  <c:v>5861</c:v>
                </c:pt>
                <c:pt idx="147">
                  <c:v>4460</c:v>
                </c:pt>
                <c:pt idx="148">
                  <c:v>6406</c:v>
                </c:pt>
                <c:pt idx="149">
                  <c:v>7392</c:v>
                </c:pt>
                <c:pt idx="150">
                  <c:v>5551</c:v>
                </c:pt>
                <c:pt idx="151">
                  <c:v>8827</c:v>
                </c:pt>
                <c:pt idx="152">
                  <c:v>4662</c:v>
                </c:pt>
                <c:pt idx="153">
                  <c:v>4499</c:v>
                </c:pt>
                <c:pt idx="154">
                  <c:v>7618</c:v>
                </c:pt>
                <c:pt idx="155">
                  <c:v>11508</c:v>
                </c:pt>
                <c:pt idx="156">
                  <c:v>11943</c:v>
                </c:pt>
                <c:pt idx="157">
                  <c:v>12303</c:v>
                </c:pt>
                <c:pt idx="158">
                  <c:v>15425</c:v>
                </c:pt>
                <c:pt idx="159">
                  <c:v>8422</c:v>
                </c:pt>
                <c:pt idx="160">
                  <c:v>10226</c:v>
                </c:pt>
                <c:pt idx="161">
                  <c:v>14583</c:v>
                </c:pt>
                <c:pt idx="162">
                  <c:v>3573</c:v>
                </c:pt>
                <c:pt idx="163">
                  <c:v>3108</c:v>
                </c:pt>
                <c:pt idx="164">
                  <c:v>759</c:v>
                </c:pt>
                <c:pt idx="165">
                  <c:v>5543</c:v>
                </c:pt>
                <c:pt idx="166">
                  <c:v>3226</c:v>
                </c:pt>
                <c:pt idx="167">
                  <c:v>3023</c:v>
                </c:pt>
                <c:pt idx="168">
                  <c:v>5906</c:v>
                </c:pt>
                <c:pt idx="169">
                  <c:v>12483</c:v>
                </c:pt>
                <c:pt idx="170">
                  <c:v>8940</c:v>
                </c:pt>
                <c:pt idx="171">
                  <c:v>368</c:v>
                </c:pt>
                <c:pt idx="172">
                  <c:v>5702</c:v>
                </c:pt>
                <c:pt idx="173">
                  <c:v>10330</c:v>
                </c:pt>
                <c:pt idx="174">
                  <c:v>8778</c:v>
                </c:pt>
                <c:pt idx="175">
                  <c:v>6662</c:v>
                </c:pt>
                <c:pt idx="176">
                  <c:v>6309</c:v>
                </c:pt>
                <c:pt idx="177">
                  <c:v>1951</c:v>
                </c:pt>
                <c:pt idx="178">
                  <c:v>5563</c:v>
                </c:pt>
                <c:pt idx="179">
                  <c:v>4370</c:v>
                </c:pt>
                <c:pt idx="180">
                  <c:v>7144</c:v>
                </c:pt>
                <c:pt idx="181">
                  <c:v>2106</c:v>
                </c:pt>
                <c:pt idx="182">
                  <c:v>4152</c:v>
                </c:pt>
                <c:pt idx="183">
                  <c:v>5400</c:v>
                </c:pt>
                <c:pt idx="184">
                  <c:v>7428</c:v>
                </c:pt>
                <c:pt idx="185">
                  <c:v>5351</c:v>
                </c:pt>
                <c:pt idx="186">
                  <c:v>4299</c:v>
                </c:pt>
                <c:pt idx="187">
                  <c:v>6107</c:v>
                </c:pt>
                <c:pt idx="188">
                  <c:v>6429</c:v>
                </c:pt>
                <c:pt idx="189">
                  <c:v>6880</c:v>
                </c:pt>
                <c:pt idx="190">
                  <c:v>7476</c:v>
                </c:pt>
                <c:pt idx="191">
                  <c:v>6581</c:v>
                </c:pt>
                <c:pt idx="192">
                  <c:v>10480</c:v>
                </c:pt>
                <c:pt idx="193">
                  <c:v>7734</c:v>
                </c:pt>
                <c:pt idx="194">
                  <c:v>5129</c:v>
                </c:pt>
                <c:pt idx="195">
                  <c:v>2993</c:v>
                </c:pt>
                <c:pt idx="196">
                  <c:v>8</c:v>
                </c:pt>
                <c:pt idx="197">
                  <c:v>0</c:v>
                </c:pt>
                <c:pt idx="198">
                  <c:v>0</c:v>
                </c:pt>
                <c:pt idx="199">
                  <c:v>8433</c:v>
                </c:pt>
                <c:pt idx="200">
                  <c:v>0</c:v>
                </c:pt>
                <c:pt idx="201">
                  <c:v>2139</c:v>
                </c:pt>
                <c:pt idx="202">
                  <c:v>0</c:v>
                </c:pt>
                <c:pt idx="203">
                  <c:v>949</c:v>
                </c:pt>
                <c:pt idx="204">
                  <c:v>0</c:v>
                </c:pt>
                <c:pt idx="205">
                  <c:v>44</c:v>
                </c:pt>
                <c:pt idx="206">
                  <c:v>2660</c:v>
                </c:pt>
                <c:pt idx="207">
                  <c:v>5561</c:v>
                </c:pt>
                <c:pt idx="208">
                  <c:v>7239</c:v>
                </c:pt>
                <c:pt idx="209">
                  <c:v>7</c:v>
                </c:pt>
                <c:pt idx="210">
                  <c:v>0</c:v>
                </c:pt>
                <c:pt idx="211">
                  <c:v>0</c:v>
                </c:pt>
                <c:pt idx="212">
                  <c:v>2275</c:v>
                </c:pt>
                <c:pt idx="213">
                  <c:v>8</c:v>
                </c:pt>
                <c:pt idx="214">
                  <c:v>5137</c:v>
                </c:pt>
                <c:pt idx="215">
                  <c:v>5419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18</c:v>
                </c:pt>
                <c:pt idx="223">
                  <c:v>4</c:v>
                </c:pt>
                <c:pt idx="224">
                  <c:v>8426</c:v>
                </c:pt>
                <c:pt idx="225">
                  <c:v>1650</c:v>
                </c:pt>
                <c:pt idx="226">
                  <c:v>3434</c:v>
                </c:pt>
                <c:pt idx="227">
                  <c:v>6801</c:v>
                </c:pt>
                <c:pt idx="228">
                  <c:v>187</c:v>
                </c:pt>
                <c:pt idx="229">
                  <c:v>5643</c:v>
                </c:pt>
                <c:pt idx="230">
                  <c:v>9043</c:v>
                </c:pt>
                <c:pt idx="231">
                  <c:v>8144</c:v>
                </c:pt>
                <c:pt idx="232">
                  <c:v>9343</c:v>
                </c:pt>
                <c:pt idx="233">
                  <c:v>8405</c:v>
                </c:pt>
                <c:pt idx="234">
                  <c:v>8223</c:v>
                </c:pt>
                <c:pt idx="235">
                  <c:v>10067</c:v>
                </c:pt>
                <c:pt idx="236">
                  <c:v>8359</c:v>
                </c:pt>
                <c:pt idx="237">
                  <c:v>10946</c:v>
                </c:pt>
                <c:pt idx="238">
                  <c:v>9130</c:v>
                </c:pt>
                <c:pt idx="239">
                  <c:v>6544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2303</c:v>
                </c:pt>
                <c:pt idx="250">
                  <c:v>2600</c:v>
                </c:pt>
                <c:pt idx="251">
                  <c:v>4804</c:v>
                </c:pt>
                <c:pt idx="252">
                  <c:v>3271</c:v>
                </c:pt>
                <c:pt idx="253">
                  <c:v>5406</c:v>
                </c:pt>
                <c:pt idx="254">
                  <c:v>3146</c:v>
                </c:pt>
                <c:pt idx="255">
                  <c:v>2422</c:v>
                </c:pt>
                <c:pt idx="256">
                  <c:v>4239</c:v>
                </c:pt>
                <c:pt idx="257">
                  <c:v>6911</c:v>
                </c:pt>
                <c:pt idx="258">
                  <c:v>6667</c:v>
                </c:pt>
                <c:pt idx="259">
                  <c:v>5543</c:v>
                </c:pt>
                <c:pt idx="260">
                  <c:v>4195</c:v>
                </c:pt>
                <c:pt idx="261">
                  <c:v>6625</c:v>
                </c:pt>
                <c:pt idx="262">
                  <c:v>5986</c:v>
                </c:pt>
                <c:pt idx="263">
                  <c:v>278</c:v>
                </c:pt>
                <c:pt idx="264">
                  <c:v>5336</c:v>
                </c:pt>
                <c:pt idx="265">
                  <c:v>3183</c:v>
                </c:pt>
                <c:pt idx="266">
                  <c:v>6176</c:v>
                </c:pt>
                <c:pt idx="267">
                  <c:v>8205</c:v>
                </c:pt>
                <c:pt idx="268">
                  <c:v>6799</c:v>
                </c:pt>
                <c:pt idx="269">
                  <c:v>5668</c:v>
                </c:pt>
                <c:pt idx="270">
                  <c:v>7998</c:v>
                </c:pt>
                <c:pt idx="271">
                  <c:v>4195</c:v>
                </c:pt>
                <c:pt idx="272">
                  <c:v>5512</c:v>
                </c:pt>
                <c:pt idx="273">
                  <c:v>6263</c:v>
                </c:pt>
                <c:pt idx="274">
                  <c:v>8828</c:v>
                </c:pt>
                <c:pt idx="275">
                  <c:v>1260</c:v>
                </c:pt>
                <c:pt idx="276">
                  <c:v>6506</c:v>
                </c:pt>
                <c:pt idx="277">
                  <c:v>7583</c:v>
                </c:pt>
                <c:pt idx="278">
                  <c:v>6963</c:v>
                </c:pt>
                <c:pt idx="279">
                  <c:v>7165</c:v>
                </c:pt>
                <c:pt idx="280">
                  <c:v>10328</c:v>
                </c:pt>
                <c:pt idx="281">
                  <c:v>12116</c:v>
                </c:pt>
                <c:pt idx="282">
                  <c:v>7810</c:v>
                </c:pt>
                <c:pt idx="283">
                  <c:v>6670</c:v>
                </c:pt>
                <c:pt idx="284">
                  <c:v>7605</c:v>
                </c:pt>
                <c:pt idx="285">
                  <c:v>6585</c:v>
                </c:pt>
                <c:pt idx="286">
                  <c:v>8184</c:v>
                </c:pt>
                <c:pt idx="287">
                  <c:v>14002</c:v>
                </c:pt>
                <c:pt idx="288">
                  <c:v>11135</c:v>
                </c:pt>
                <c:pt idx="289">
                  <c:v>6499</c:v>
                </c:pt>
                <c:pt idx="290">
                  <c:v>0</c:v>
                </c:pt>
                <c:pt idx="291">
                  <c:v>12409</c:v>
                </c:pt>
                <c:pt idx="292">
                  <c:v>2937</c:v>
                </c:pt>
                <c:pt idx="293">
                  <c:v>1515</c:v>
                </c:pt>
                <c:pt idx="294">
                  <c:v>8921</c:v>
                </c:pt>
                <c:pt idx="295">
                  <c:v>11306</c:v>
                </c:pt>
                <c:pt idx="296">
                  <c:v>12252</c:v>
                </c:pt>
                <c:pt idx="297">
                  <c:v>15444</c:v>
                </c:pt>
                <c:pt idx="298">
                  <c:v>9938</c:v>
                </c:pt>
                <c:pt idx="299">
                  <c:v>4599</c:v>
                </c:pt>
                <c:pt idx="300">
                  <c:v>5594</c:v>
                </c:pt>
                <c:pt idx="301">
                  <c:v>11906</c:v>
                </c:pt>
                <c:pt idx="302">
                  <c:v>3436</c:v>
                </c:pt>
                <c:pt idx="303">
                  <c:v>10461</c:v>
                </c:pt>
                <c:pt idx="304">
                  <c:v>14873</c:v>
                </c:pt>
                <c:pt idx="305">
                  <c:v>9917</c:v>
                </c:pt>
                <c:pt idx="306">
                  <c:v>7401</c:v>
                </c:pt>
                <c:pt idx="307">
                  <c:v>8964</c:v>
                </c:pt>
                <c:pt idx="308">
                  <c:v>11080</c:v>
                </c:pt>
                <c:pt idx="309">
                  <c:v>4499</c:v>
                </c:pt>
                <c:pt idx="310">
                  <c:v>4363</c:v>
                </c:pt>
                <c:pt idx="311">
                  <c:v>10494</c:v>
                </c:pt>
                <c:pt idx="312">
                  <c:v>9776</c:v>
                </c:pt>
                <c:pt idx="313">
                  <c:v>2862</c:v>
                </c:pt>
                <c:pt idx="314">
                  <c:v>7444</c:v>
                </c:pt>
                <c:pt idx="315">
                  <c:v>19658</c:v>
                </c:pt>
                <c:pt idx="316">
                  <c:v>0</c:v>
                </c:pt>
                <c:pt idx="317">
                  <c:v>8468</c:v>
                </c:pt>
                <c:pt idx="318">
                  <c:v>9910</c:v>
                </c:pt>
                <c:pt idx="319">
                  <c:v>12409</c:v>
                </c:pt>
                <c:pt idx="320">
                  <c:v>4853</c:v>
                </c:pt>
                <c:pt idx="321">
                  <c:v>8955</c:v>
                </c:pt>
                <c:pt idx="322">
                  <c:v>10789</c:v>
                </c:pt>
                <c:pt idx="323">
                  <c:v>0</c:v>
                </c:pt>
                <c:pt idx="324">
                  <c:v>6633</c:v>
                </c:pt>
                <c:pt idx="325">
                  <c:v>9548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2101</c:v>
                </c:pt>
                <c:pt idx="336">
                  <c:v>0</c:v>
                </c:pt>
                <c:pt idx="337">
                  <c:v>0</c:v>
                </c:pt>
                <c:pt idx="338">
                  <c:v>9766</c:v>
                </c:pt>
                <c:pt idx="339">
                  <c:v>165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7225</c:v>
                </c:pt>
                <c:pt idx="344">
                  <c:v>1988</c:v>
                </c:pt>
                <c:pt idx="345">
                  <c:v>1577</c:v>
                </c:pt>
                <c:pt idx="346">
                  <c:v>0</c:v>
                </c:pt>
                <c:pt idx="347">
                  <c:v>9348</c:v>
                </c:pt>
                <c:pt idx="348">
                  <c:v>11761</c:v>
                </c:pt>
                <c:pt idx="349">
                  <c:v>13987</c:v>
                </c:pt>
                <c:pt idx="350">
                  <c:v>4131</c:v>
                </c:pt>
                <c:pt idx="351">
                  <c:v>14</c:v>
                </c:pt>
                <c:pt idx="352">
                  <c:v>15491</c:v>
                </c:pt>
                <c:pt idx="353">
                  <c:v>14097</c:v>
                </c:pt>
                <c:pt idx="354">
                  <c:v>10467</c:v>
                </c:pt>
                <c:pt idx="355">
                  <c:v>12437</c:v>
                </c:pt>
                <c:pt idx="356">
                  <c:v>12307</c:v>
                </c:pt>
                <c:pt idx="357">
                  <c:v>18952</c:v>
                </c:pt>
                <c:pt idx="358">
                  <c:v>12010</c:v>
                </c:pt>
                <c:pt idx="359">
                  <c:v>12480</c:v>
                </c:pt>
                <c:pt idx="360">
                  <c:v>13417</c:v>
                </c:pt>
                <c:pt idx="361">
                  <c:v>14400</c:v>
                </c:pt>
                <c:pt idx="362">
                  <c:v>12495</c:v>
                </c:pt>
                <c:pt idx="363">
                  <c:v>10148</c:v>
                </c:pt>
                <c:pt idx="364">
                  <c:v>12362</c:v>
                </c:pt>
                <c:pt idx="365">
                  <c:v>5893</c:v>
                </c:pt>
                <c:pt idx="366">
                  <c:v>11680</c:v>
                </c:pt>
                <c:pt idx="367">
                  <c:v>10976</c:v>
                </c:pt>
                <c:pt idx="368">
                  <c:v>16806</c:v>
                </c:pt>
                <c:pt idx="369">
                  <c:v>15266</c:v>
                </c:pt>
                <c:pt idx="370">
                  <c:v>12084</c:v>
                </c:pt>
                <c:pt idx="371">
                  <c:v>13513</c:v>
                </c:pt>
                <c:pt idx="372">
                  <c:v>14100</c:v>
                </c:pt>
                <c:pt idx="373">
                  <c:v>12627</c:v>
                </c:pt>
                <c:pt idx="374">
                  <c:v>10345</c:v>
                </c:pt>
                <c:pt idx="375">
                  <c:v>10146</c:v>
                </c:pt>
                <c:pt idx="376">
                  <c:v>12168</c:v>
                </c:pt>
                <c:pt idx="377">
                  <c:v>7413</c:v>
                </c:pt>
                <c:pt idx="378">
                  <c:v>11463</c:v>
                </c:pt>
                <c:pt idx="379">
                  <c:v>87</c:v>
                </c:pt>
                <c:pt idx="380">
                  <c:v>1949</c:v>
                </c:pt>
                <c:pt idx="381">
                  <c:v>6101</c:v>
                </c:pt>
                <c:pt idx="382">
                  <c:v>7478</c:v>
                </c:pt>
                <c:pt idx="383">
                  <c:v>7352</c:v>
                </c:pt>
                <c:pt idx="384">
                  <c:v>14604</c:v>
                </c:pt>
                <c:pt idx="385">
                  <c:v>9634</c:v>
                </c:pt>
                <c:pt idx="386">
                  <c:v>7338</c:v>
                </c:pt>
                <c:pt idx="387">
                  <c:v>569</c:v>
                </c:pt>
                <c:pt idx="388">
                  <c:v>6242</c:v>
                </c:pt>
                <c:pt idx="389">
                  <c:v>430</c:v>
                </c:pt>
                <c:pt idx="390">
                  <c:v>20188</c:v>
                </c:pt>
                <c:pt idx="391">
                  <c:v>25701</c:v>
                </c:pt>
                <c:pt idx="392">
                  <c:v>17395</c:v>
                </c:pt>
                <c:pt idx="393">
                  <c:v>17167</c:v>
                </c:pt>
                <c:pt idx="394">
                  <c:v>16435</c:v>
                </c:pt>
                <c:pt idx="395">
                  <c:v>17078</c:v>
                </c:pt>
                <c:pt idx="396">
                  <c:v>11693</c:v>
                </c:pt>
                <c:pt idx="397">
                  <c:v>11159</c:v>
                </c:pt>
                <c:pt idx="398">
                  <c:v>10118</c:v>
                </c:pt>
                <c:pt idx="399">
                  <c:v>16064</c:v>
                </c:pt>
                <c:pt idx="400">
                  <c:v>290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1931</c:v>
                </c:pt>
                <c:pt idx="407">
                  <c:v>5181</c:v>
                </c:pt>
                <c:pt idx="408">
                  <c:v>12026</c:v>
                </c:pt>
                <c:pt idx="409">
                  <c:v>5360</c:v>
                </c:pt>
                <c:pt idx="410">
                  <c:v>2545</c:v>
                </c:pt>
                <c:pt idx="411">
                  <c:v>1636</c:v>
                </c:pt>
                <c:pt idx="412">
                  <c:v>0</c:v>
                </c:pt>
                <c:pt idx="413">
                  <c:v>14179</c:v>
                </c:pt>
                <c:pt idx="414">
                  <c:v>3358</c:v>
                </c:pt>
                <c:pt idx="415">
                  <c:v>9152</c:v>
                </c:pt>
                <c:pt idx="416">
                  <c:v>13935</c:v>
                </c:pt>
                <c:pt idx="417">
                  <c:v>12846</c:v>
                </c:pt>
                <c:pt idx="418">
                  <c:v>9124</c:v>
                </c:pt>
                <c:pt idx="419">
                  <c:v>9725</c:v>
                </c:pt>
                <c:pt idx="420">
                  <c:v>8350</c:v>
                </c:pt>
                <c:pt idx="421">
                  <c:v>2240</c:v>
                </c:pt>
                <c:pt idx="422">
                  <c:v>2631</c:v>
                </c:pt>
                <c:pt idx="423">
                  <c:v>8837</c:v>
                </c:pt>
                <c:pt idx="424">
                  <c:v>3246</c:v>
                </c:pt>
                <c:pt idx="425">
                  <c:v>2174</c:v>
                </c:pt>
                <c:pt idx="426">
                  <c:v>3494</c:v>
                </c:pt>
                <c:pt idx="427">
                  <c:v>2380</c:v>
                </c:pt>
                <c:pt idx="428">
                  <c:v>3159</c:v>
                </c:pt>
                <c:pt idx="429">
                  <c:v>6835</c:v>
                </c:pt>
                <c:pt idx="430">
                  <c:v>2098</c:v>
                </c:pt>
                <c:pt idx="431">
                  <c:v>2816</c:v>
                </c:pt>
                <c:pt idx="432">
                  <c:v>1408</c:v>
                </c:pt>
                <c:pt idx="433">
                  <c:v>4592</c:v>
                </c:pt>
                <c:pt idx="434">
                  <c:v>8452</c:v>
                </c:pt>
                <c:pt idx="435">
                  <c:v>7238</c:v>
                </c:pt>
                <c:pt idx="436">
                  <c:v>3821</c:v>
                </c:pt>
                <c:pt idx="437">
                  <c:v>2332</c:v>
                </c:pt>
                <c:pt idx="438">
                  <c:v>2121</c:v>
                </c:pt>
                <c:pt idx="439">
                  <c:v>1291</c:v>
                </c:pt>
                <c:pt idx="440">
                  <c:v>1467</c:v>
                </c:pt>
                <c:pt idx="441">
                  <c:v>1022</c:v>
                </c:pt>
                <c:pt idx="442">
                  <c:v>4605</c:v>
                </c:pt>
                <c:pt idx="443">
                  <c:v>178</c:v>
                </c:pt>
                <c:pt idx="444">
                  <c:v>20</c:v>
                </c:pt>
                <c:pt idx="445">
                  <c:v>18700</c:v>
                </c:pt>
                <c:pt idx="446">
                  <c:v>27572</c:v>
                </c:pt>
                <c:pt idx="447">
                  <c:v>15260</c:v>
                </c:pt>
                <c:pt idx="448">
                  <c:v>20779</c:v>
                </c:pt>
                <c:pt idx="449">
                  <c:v>10695</c:v>
                </c:pt>
                <c:pt idx="450">
                  <c:v>24136</c:v>
                </c:pt>
                <c:pt idx="451">
                  <c:v>10910</c:v>
                </c:pt>
                <c:pt idx="452">
                  <c:v>23014</c:v>
                </c:pt>
                <c:pt idx="453">
                  <c:v>16470</c:v>
                </c:pt>
                <c:pt idx="454">
                  <c:v>28497</c:v>
                </c:pt>
                <c:pt idx="455">
                  <c:v>10622</c:v>
                </c:pt>
                <c:pt idx="456">
                  <c:v>2350</c:v>
                </c:pt>
              </c:numCache>
            </c:numRef>
          </c:xVal>
          <c:yVal>
            <c:numRef>
              <c:f>dailyActivity_merged!$O$2:$O$458</c:f>
              <c:numCache>
                <c:formatCode>General</c:formatCode>
                <c:ptCount val="457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50</c:v>
                </c:pt>
                <c:pt idx="19">
                  <c:v>1373</c:v>
                </c:pt>
                <c:pt idx="20">
                  <c:v>1264</c:v>
                </c:pt>
                <c:pt idx="21">
                  <c:v>1350</c:v>
                </c:pt>
                <c:pt idx="22">
                  <c:v>1342</c:v>
                </c:pt>
                <c:pt idx="23">
                  <c:v>1300</c:v>
                </c:pt>
                <c:pt idx="24">
                  <c:v>1313</c:v>
                </c:pt>
                <c:pt idx="25">
                  <c:v>1498</c:v>
                </c:pt>
                <c:pt idx="26">
                  <c:v>1541</c:v>
                </c:pt>
                <c:pt idx="27">
                  <c:v>1327</c:v>
                </c:pt>
                <c:pt idx="28">
                  <c:v>1452</c:v>
                </c:pt>
                <c:pt idx="29">
                  <c:v>1574</c:v>
                </c:pt>
                <c:pt idx="30">
                  <c:v>1308</c:v>
                </c:pt>
                <c:pt idx="31">
                  <c:v>1276</c:v>
                </c:pt>
                <c:pt idx="32">
                  <c:v>1278</c:v>
                </c:pt>
                <c:pt idx="33">
                  <c:v>1409</c:v>
                </c:pt>
                <c:pt idx="34">
                  <c:v>1370</c:v>
                </c:pt>
                <c:pt idx="35">
                  <c:v>1555</c:v>
                </c:pt>
                <c:pt idx="36">
                  <c:v>1469</c:v>
                </c:pt>
                <c:pt idx="37">
                  <c:v>706</c:v>
                </c:pt>
                <c:pt idx="38">
                  <c:v>3323</c:v>
                </c:pt>
                <c:pt idx="39">
                  <c:v>4029</c:v>
                </c:pt>
                <c:pt idx="40">
                  <c:v>3436</c:v>
                </c:pt>
                <c:pt idx="41">
                  <c:v>2444</c:v>
                </c:pt>
                <c:pt idx="42">
                  <c:v>3098</c:v>
                </c:pt>
                <c:pt idx="43">
                  <c:v>2925</c:v>
                </c:pt>
                <c:pt idx="44">
                  <c:v>3202</c:v>
                </c:pt>
                <c:pt idx="45">
                  <c:v>2928</c:v>
                </c:pt>
                <c:pt idx="46">
                  <c:v>3290</c:v>
                </c:pt>
                <c:pt idx="47">
                  <c:v>489</c:v>
                </c:pt>
                <c:pt idx="48">
                  <c:v>1969</c:v>
                </c:pt>
                <c:pt idx="49">
                  <c:v>1889</c:v>
                </c:pt>
                <c:pt idx="50">
                  <c:v>1636</c:v>
                </c:pt>
                <c:pt idx="51">
                  <c:v>1347</c:v>
                </c:pt>
                <c:pt idx="52">
                  <c:v>1347</c:v>
                </c:pt>
                <c:pt idx="53">
                  <c:v>1349</c:v>
                </c:pt>
                <c:pt idx="54">
                  <c:v>1965</c:v>
                </c:pt>
                <c:pt idx="55">
                  <c:v>1824</c:v>
                </c:pt>
                <c:pt idx="56">
                  <c:v>1807</c:v>
                </c:pt>
                <c:pt idx="57">
                  <c:v>1971</c:v>
                </c:pt>
                <c:pt idx="58">
                  <c:v>1888</c:v>
                </c:pt>
                <c:pt idx="59">
                  <c:v>399</c:v>
                </c:pt>
                <c:pt idx="60">
                  <c:v>2590</c:v>
                </c:pt>
                <c:pt idx="61">
                  <c:v>2783</c:v>
                </c:pt>
                <c:pt idx="62">
                  <c:v>2449</c:v>
                </c:pt>
                <c:pt idx="63">
                  <c:v>2380</c:v>
                </c:pt>
                <c:pt idx="64">
                  <c:v>2344</c:v>
                </c:pt>
                <c:pt idx="65">
                  <c:v>2202</c:v>
                </c:pt>
                <c:pt idx="66">
                  <c:v>2130</c:v>
                </c:pt>
                <c:pt idx="67">
                  <c:v>2088</c:v>
                </c:pt>
                <c:pt idx="68">
                  <c:v>2443</c:v>
                </c:pt>
                <c:pt idx="69">
                  <c:v>2442</c:v>
                </c:pt>
                <c:pt idx="70">
                  <c:v>2255</c:v>
                </c:pt>
                <c:pt idx="71">
                  <c:v>942</c:v>
                </c:pt>
                <c:pt idx="72">
                  <c:v>2645</c:v>
                </c:pt>
                <c:pt idx="73">
                  <c:v>2040</c:v>
                </c:pt>
                <c:pt idx="74">
                  <c:v>2395</c:v>
                </c:pt>
                <c:pt idx="75">
                  <c:v>2581</c:v>
                </c:pt>
                <c:pt idx="76">
                  <c:v>2735</c:v>
                </c:pt>
                <c:pt idx="77">
                  <c:v>2733</c:v>
                </c:pt>
                <c:pt idx="78">
                  <c:v>3021</c:v>
                </c:pt>
                <c:pt idx="79">
                  <c:v>2577</c:v>
                </c:pt>
                <c:pt idx="80">
                  <c:v>2811</c:v>
                </c:pt>
                <c:pt idx="81">
                  <c:v>2458</c:v>
                </c:pt>
                <c:pt idx="82">
                  <c:v>2568</c:v>
                </c:pt>
                <c:pt idx="83">
                  <c:v>1140</c:v>
                </c:pt>
                <c:pt idx="84">
                  <c:v>1407</c:v>
                </c:pt>
                <c:pt idx="85">
                  <c:v>1237</c:v>
                </c:pt>
                <c:pt idx="86">
                  <c:v>1330</c:v>
                </c:pt>
                <c:pt idx="87">
                  <c:v>1583</c:v>
                </c:pt>
                <c:pt idx="88">
                  <c:v>1538</c:v>
                </c:pt>
                <c:pt idx="89">
                  <c:v>1421</c:v>
                </c:pt>
                <c:pt idx="90">
                  <c:v>1392</c:v>
                </c:pt>
                <c:pt idx="91">
                  <c:v>1425</c:v>
                </c:pt>
                <c:pt idx="92">
                  <c:v>1413</c:v>
                </c:pt>
                <c:pt idx="93">
                  <c:v>1515</c:v>
                </c:pt>
                <c:pt idx="94">
                  <c:v>1405</c:v>
                </c:pt>
                <c:pt idx="95">
                  <c:v>600</c:v>
                </c:pt>
                <c:pt idx="96">
                  <c:v>1324</c:v>
                </c:pt>
                <c:pt idx="97">
                  <c:v>1324</c:v>
                </c:pt>
                <c:pt idx="98">
                  <c:v>1324</c:v>
                </c:pt>
                <c:pt idx="99">
                  <c:v>1324</c:v>
                </c:pt>
                <c:pt idx="100">
                  <c:v>1708</c:v>
                </c:pt>
                <c:pt idx="101">
                  <c:v>1950</c:v>
                </c:pt>
                <c:pt idx="102">
                  <c:v>1508</c:v>
                </c:pt>
                <c:pt idx="103">
                  <c:v>1625</c:v>
                </c:pt>
                <c:pt idx="104">
                  <c:v>1772</c:v>
                </c:pt>
                <c:pt idx="105">
                  <c:v>1530</c:v>
                </c:pt>
                <c:pt idx="106">
                  <c:v>2206</c:v>
                </c:pt>
                <c:pt idx="107">
                  <c:v>790</c:v>
                </c:pt>
                <c:pt idx="108">
                  <c:v>2041</c:v>
                </c:pt>
                <c:pt idx="109">
                  <c:v>2187</c:v>
                </c:pt>
                <c:pt idx="110">
                  <c:v>1929</c:v>
                </c:pt>
                <c:pt idx="111">
                  <c:v>1935</c:v>
                </c:pt>
                <c:pt idx="112">
                  <c:v>2438</c:v>
                </c:pt>
                <c:pt idx="113">
                  <c:v>2035</c:v>
                </c:pt>
                <c:pt idx="114">
                  <c:v>2099</c:v>
                </c:pt>
                <c:pt idx="115">
                  <c:v>2096</c:v>
                </c:pt>
                <c:pt idx="116">
                  <c:v>2058</c:v>
                </c:pt>
                <c:pt idx="117">
                  <c:v>2338</c:v>
                </c:pt>
                <c:pt idx="118">
                  <c:v>2104</c:v>
                </c:pt>
                <c:pt idx="119">
                  <c:v>2488</c:v>
                </c:pt>
                <c:pt idx="120">
                  <c:v>2164</c:v>
                </c:pt>
                <c:pt idx="121">
                  <c:v>2009</c:v>
                </c:pt>
                <c:pt idx="122">
                  <c:v>399</c:v>
                </c:pt>
                <c:pt idx="123">
                  <c:v>1335</c:v>
                </c:pt>
                <c:pt idx="124">
                  <c:v>1559</c:v>
                </c:pt>
                <c:pt idx="125">
                  <c:v>1845</c:v>
                </c:pt>
                <c:pt idx="126">
                  <c:v>2046</c:v>
                </c:pt>
                <c:pt idx="127">
                  <c:v>1953</c:v>
                </c:pt>
                <c:pt idx="128">
                  <c:v>1910</c:v>
                </c:pt>
                <c:pt idx="129">
                  <c:v>2035</c:v>
                </c:pt>
                <c:pt idx="130">
                  <c:v>1944</c:v>
                </c:pt>
                <c:pt idx="131">
                  <c:v>2257</c:v>
                </c:pt>
                <c:pt idx="132">
                  <c:v>1724</c:v>
                </c:pt>
                <c:pt idx="133">
                  <c:v>1741</c:v>
                </c:pt>
                <c:pt idx="134">
                  <c:v>0</c:v>
                </c:pt>
                <c:pt idx="135">
                  <c:v>1920</c:v>
                </c:pt>
                <c:pt idx="136">
                  <c:v>1920</c:v>
                </c:pt>
                <c:pt idx="137">
                  <c:v>1920</c:v>
                </c:pt>
                <c:pt idx="138">
                  <c:v>4562</c:v>
                </c:pt>
                <c:pt idx="139">
                  <c:v>2881</c:v>
                </c:pt>
                <c:pt idx="140">
                  <c:v>1920</c:v>
                </c:pt>
                <c:pt idx="141">
                  <c:v>1920</c:v>
                </c:pt>
                <c:pt idx="142">
                  <c:v>1144</c:v>
                </c:pt>
                <c:pt idx="143">
                  <c:v>1852</c:v>
                </c:pt>
                <c:pt idx="144">
                  <c:v>2069</c:v>
                </c:pt>
                <c:pt idx="145">
                  <c:v>1816</c:v>
                </c:pt>
                <c:pt idx="146">
                  <c:v>1878</c:v>
                </c:pt>
                <c:pt idx="147">
                  <c:v>1787</c:v>
                </c:pt>
                <c:pt idx="148">
                  <c:v>2010</c:v>
                </c:pt>
                <c:pt idx="149">
                  <c:v>2038</c:v>
                </c:pt>
                <c:pt idx="150">
                  <c:v>1815</c:v>
                </c:pt>
                <c:pt idx="151">
                  <c:v>2062</c:v>
                </c:pt>
                <c:pt idx="152">
                  <c:v>1276</c:v>
                </c:pt>
                <c:pt idx="153">
                  <c:v>1288</c:v>
                </c:pt>
                <c:pt idx="154">
                  <c:v>1490</c:v>
                </c:pt>
                <c:pt idx="155">
                  <c:v>1630</c:v>
                </c:pt>
                <c:pt idx="156">
                  <c:v>1648</c:v>
                </c:pt>
                <c:pt idx="157">
                  <c:v>1649</c:v>
                </c:pt>
                <c:pt idx="158">
                  <c:v>1783</c:v>
                </c:pt>
                <c:pt idx="159">
                  <c:v>1431</c:v>
                </c:pt>
                <c:pt idx="160">
                  <c:v>1524</c:v>
                </c:pt>
                <c:pt idx="161">
                  <c:v>1697</c:v>
                </c:pt>
                <c:pt idx="162">
                  <c:v>1232</c:v>
                </c:pt>
                <c:pt idx="163">
                  <c:v>1223</c:v>
                </c:pt>
                <c:pt idx="164">
                  <c:v>182</c:v>
                </c:pt>
                <c:pt idx="165">
                  <c:v>2990</c:v>
                </c:pt>
                <c:pt idx="166">
                  <c:v>2480</c:v>
                </c:pt>
                <c:pt idx="167">
                  <c:v>2570</c:v>
                </c:pt>
                <c:pt idx="168">
                  <c:v>3016</c:v>
                </c:pt>
                <c:pt idx="169">
                  <c:v>3830</c:v>
                </c:pt>
                <c:pt idx="170">
                  <c:v>3706</c:v>
                </c:pt>
                <c:pt idx="171">
                  <c:v>2024</c:v>
                </c:pt>
                <c:pt idx="172">
                  <c:v>2980</c:v>
                </c:pt>
                <c:pt idx="173">
                  <c:v>3728</c:v>
                </c:pt>
                <c:pt idx="174">
                  <c:v>3348</c:v>
                </c:pt>
                <c:pt idx="175">
                  <c:v>3162</c:v>
                </c:pt>
                <c:pt idx="176">
                  <c:v>3140</c:v>
                </c:pt>
                <c:pt idx="177">
                  <c:v>1980</c:v>
                </c:pt>
                <c:pt idx="178">
                  <c:v>3681</c:v>
                </c:pt>
                <c:pt idx="179">
                  <c:v>3444</c:v>
                </c:pt>
                <c:pt idx="180">
                  <c:v>3510</c:v>
                </c:pt>
                <c:pt idx="181">
                  <c:v>4010</c:v>
                </c:pt>
                <c:pt idx="182">
                  <c:v>2976</c:v>
                </c:pt>
                <c:pt idx="183">
                  <c:v>3418</c:v>
                </c:pt>
                <c:pt idx="184">
                  <c:v>3439</c:v>
                </c:pt>
                <c:pt idx="185">
                  <c:v>3338</c:v>
                </c:pt>
                <c:pt idx="186">
                  <c:v>2892</c:v>
                </c:pt>
                <c:pt idx="187">
                  <c:v>3313</c:v>
                </c:pt>
                <c:pt idx="188">
                  <c:v>3118</c:v>
                </c:pt>
                <c:pt idx="189">
                  <c:v>2966</c:v>
                </c:pt>
                <c:pt idx="190">
                  <c:v>3253</c:v>
                </c:pt>
                <c:pt idx="191">
                  <c:v>3032</c:v>
                </c:pt>
                <c:pt idx="192">
                  <c:v>4034</c:v>
                </c:pt>
                <c:pt idx="193">
                  <c:v>3264</c:v>
                </c:pt>
                <c:pt idx="194">
                  <c:v>2817</c:v>
                </c:pt>
                <c:pt idx="195">
                  <c:v>2507</c:v>
                </c:pt>
                <c:pt idx="196">
                  <c:v>446</c:v>
                </c:pt>
                <c:pt idx="197">
                  <c:v>1777</c:v>
                </c:pt>
                <c:pt idx="198">
                  <c:v>1777</c:v>
                </c:pt>
                <c:pt idx="199">
                  <c:v>2453</c:v>
                </c:pt>
                <c:pt idx="200">
                  <c:v>1776</c:v>
                </c:pt>
                <c:pt idx="201">
                  <c:v>1935</c:v>
                </c:pt>
                <c:pt idx="202">
                  <c:v>1776</c:v>
                </c:pt>
                <c:pt idx="203">
                  <c:v>1870</c:v>
                </c:pt>
                <c:pt idx="204">
                  <c:v>1777</c:v>
                </c:pt>
                <c:pt idx="205">
                  <c:v>1782</c:v>
                </c:pt>
                <c:pt idx="206">
                  <c:v>1978</c:v>
                </c:pt>
                <c:pt idx="207">
                  <c:v>2296</c:v>
                </c:pt>
                <c:pt idx="208">
                  <c:v>2484</c:v>
                </c:pt>
                <c:pt idx="209">
                  <c:v>1787</c:v>
                </c:pt>
                <c:pt idx="210">
                  <c:v>1776</c:v>
                </c:pt>
                <c:pt idx="211">
                  <c:v>1776</c:v>
                </c:pt>
                <c:pt idx="212">
                  <c:v>2005</c:v>
                </c:pt>
                <c:pt idx="213">
                  <c:v>1778</c:v>
                </c:pt>
                <c:pt idx="214">
                  <c:v>2293</c:v>
                </c:pt>
                <c:pt idx="215">
                  <c:v>2259</c:v>
                </c:pt>
                <c:pt idx="216">
                  <c:v>1776</c:v>
                </c:pt>
                <c:pt idx="217">
                  <c:v>1776</c:v>
                </c:pt>
                <c:pt idx="218">
                  <c:v>1776</c:v>
                </c:pt>
                <c:pt idx="219">
                  <c:v>1776</c:v>
                </c:pt>
                <c:pt idx="220">
                  <c:v>1776</c:v>
                </c:pt>
                <c:pt idx="221">
                  <c:v>1776</c:v>
                </c:pt>
                <c:pt idx="222">
                  <c:v>1780</c:v>
                </c:pt>
                <c:pt idx="223">
                  <c:v>1778</c:v>
                </c:pt>
                <c:pt idx="224">
                  <c:v>2360</c:v>
                </c:pt>
                <c:pt idx="225">
                  <c:v>1952</c:v>
                </c:pt>
                <c:pt idx="226">
                  <c:v>2101</c:v>
                </c:pt>
                <c:pt idx="227">
                  <c:v>2393</c:v>
                </c:pt>
                <c:pt idx="228">
                  <c:v>538</c:v>
                </c:pt>
                <c:pt idx="229">
                  <c:v>1958</c:v>
                </c:pt>
                <c:pt idx="230">
                  <c:v>2141</c:v>
                </c:pt>
                <c:pt idx="231">
                  <c:v>2129</c:v>
                </c:pt>
                <c:pt idx="232">
                  <c:v>2216</c:v>
                </c:pt>
                <c:pt idx="233">
                  <c:v>2154</c:v>
                </c:pt>
                <c:pt idx="234">
                  <c:v>2178</c:v>
                </c:pt>
                <c:pt idx="235">
                  <c:v>2308</c:v>
                </c:pt>
                <c:pt idx="236">
                  <c:v>2201</c:v>
                </c:pt>
                <c:pt idx="237">
                  <c:v>2341</c:v>
                </c:pt>
                <c:pt idx="238">
                  <c:v>2236</c:v>
                </c:pt>
                <c:pt idx="239">
                  <c:v>2069</c:v>
                </c:pt>
                <c:pt idx="240">
                  <c:v>0</c:v>
                </c:pt>
                <c:pt idx="241">
                  <c:v>1878</c:v>
                </c:pt>
                <c:pt idx="242">
                  <c:v>1878</c:v>
                </c:pt>
                <c:pt idx="243">
                  <c:v>1878</c:v>
                </c:pt>
                <c:pt idx="244">
                  <c:v>1878</c:v>
                </c:pt>
                <c:pt idx="245">
                  <c:v>1878</c:v>
                </c:pt>
                <c:pt idx="246">
                  <c:v>1878</c:v>
                </c:pt>
                <c:pt idx="247">
                  <c:v>1878</c:v>
                </c:pt>
                <c:pt idx="248">
                  <c:v>1296</c:v>
                </c:pt>
                <c:pt idx="249">
                  <c:v>2010</c:v>
                </c:pt>
                <c:pt idx="250">
                  <c:v>2032</c:v>
                </c:pt>
                <c:pt idx="251">
                  <c:v>2227</c:v>
                </c:pt>
                <c:pt idx="252">
                  <c:v>2133</c:v>
                </c:pt>
                <c:pt idx="253">
                  <c:v>2317</c:v>
                </c:pt>
                <c:pt idx="254">
                  <c:v>2058</c:v>
                </c:pt>
                <c:pt idx="255">
                  <c:v>1935</c:v>
                </c:pt>
                <c:pt idx="256">
                  <c:v>2217</c:v>
                </c:pt>
                <c:pt idx="257">
                  <c:v>2374</c:v>
                </c:pt>
                <c:pt idx="258">
                  <c:v>2335</c:v>
                </c:pt>
                <c:pt idx="259">
                  <c:v>2303</c:v>
                </c:pt>
                <c:pt idx="260">
                  <c:v>2210</c:v>
                </c:pt>
                <c:pt idx="261">
                  <c:v>2424</c:v>
                </c:pt>
                <c:pt idx="262">
                  <c:v>2297</c:v>
                </c:pt>
                <c:pt idx="263">
                  <c:v>745</c:v>
                </c:pt>
                <c:pt idx="264">
                  <c:v>1902</c:v>
                </c:pt>
                <c:pt idx="265">
                  <c:v>1680</c:v>
                </c:pt>
                <c:pt idx="266">
                  <c:v>1901</c:v>
                </c:pt>
                <c:pt idx="267">
                  <c:v>2078</c:v>
                </c:pt>
                <c:pt idx="268">
                  <c:v>1876</c:v>
                </c:pt>
                <c:pt idx="269">
                  <c:v>1853</c:v>
                </c:pt>
                <c:pt idx="270">
                  <c:v>2235</c:v>
                </c:pt>
                <c:pt idx="271">
                  <c:v>1778</c:v>
                </c:pt>
                <c:pt idx="272">
                  <c:v>1882</c:v>
                </c:pt>
                <c:pt idx="273">
                  <c:v>1906</c:v>
                </c:pt>
                <c:pt idx="274">
                  <c:v>2149</c:v>
                </c:pt>
                <c:pt idx="275">
                  <c:v>722</c:v>
                </c:pt>
                <c:pt idx="276">
                  <c:v>2886</c:v>
                </c:pt>
                <c:pt idx="277">
                  <c:v>2915</c:v>
                </c:pt>
                <c:pt idx="278">
                  <c:v>2895</c:v>
                </c:pt>
                <c:pt idx="279">
                  <c:v>2923</c:v>
                </c:pt>
                <c:pt idx="280">
                  <c:v>3323</c:v>
                </c:pt>
                <c:pt idx="281">
                  <c:v>3357</c:v>
                </c:pt>
                <c:pt idx="282">
                  <c:v>2931</c:v>
                </c:pt>
                <c:pt idx="283">
                  <c:v>2848</c:v>
                </c:pt>
                <c:pt idx="284">
                  <c:v>2943</c:v>
                </c:pt>
                <c:pt idx="285">
                  <c:v>2822</c:v>
                </c:pt>
                <c:pt idx="286">
                  <c:v>2981</c:v>
                </c:pt>
                <c:pt idx="287">
                  <c:v>3597</c:v>
                </c:pt>
                <c:pt idx="288">
                  <c:v>3224</c:v>
                </c:pt>
                <c:pt idx="289">
                  <c:v>2677</c:v>
                </c:pt>
                <c:pt idx="290">
                  <c:v>0</c:v>
                </c:pt>
                <c:pt idx="291">
                  <c:v>2142</c:v>
                </c:pt>
                <c:pt idx="292">
                  <c:v>1615</c:v>
                </c:pt>
                <c:pt idx="293">
                  <c:v>1481</c:v>
                </c:pt>
                <c:pt idx="294">
                  <c:v>1892</c:v>
                </c:pt>
                <c:pt idx="295">
                  <c:v>2086</c:v>
                </c:pt>
                <c:pt idx="296">
                  <c:v>2044</c:v>
                </c:pt>
                <c:pt idx="297">
                  <c:v>2249</c:v>
                </c:pt>
                <c:pt idx="298">
                  <c:v>2019</c:v>
                </c:pt>
                <c:pt idx="299">
                  <c:v>1692</c:v>
                </c:pt>
                <c:pt idx="300">
                  <c:v>1712</c:v>
                </c:pt>
                <c:pt idx="301">
                  <c:v>2065</c:v>
                </c:pt>
                <c:pt idx="302">
                  <c:v>633</c:v>
                </c:pt>
                <c:pt idx="303">
                  <c:v>3625</c:v>
                </c:pt>
                <c:pt idx="304">
                  <c:v>4430</c:v>
                </c:pt>
                <c:pt idx="305">
                  <c:v>3427</c:v>
                </c:pt>
                <c:pt idx="306">
                  <c:v>3492</c:v>
                </c:pt>
                <c:pt idx="307">
                  <c:v>3597</c:v>
                </c:pt>
                <c:pt idx="308">
                  <c:v>3765</c:v>
                </c:pt>
                <c:pt idx="309">
                  <c:v>2775</c:v>
                </c:pt>
                <c:pt idx="310">
                  <c:v>2486</c:v>
                </c:pt>
                <c:pt idx="311">
                  <c:v>3817</c:v>
                </c:pt>
                <c:pt idx="312">
                  <c:v>3378</c:v>
                </c:pt>
                <c:pt idx="313">
                  <c:v>1511</c:v>
                </c:pt>
                <c:pt idx="314">
                  <c:v>2210</c:v>
                </c:pt>
                <c:pt idx="315">
                  <c:v>2884</c:v>
                </c:pt>
                <c:pt idx="316">
                  <c:v>1496</c:v>
                </c:pt>
                <c:pt idx="317">
                  <c:v>2262</c:v>
                </c:pt>
                <c:pt idx="318">
                  <c:v>2445</c:v>
                </c:pt>
                <c:pt idx="319">
                  <c:v>2694</c:v>
                </c:pt>
                <c:pt idx="320">
                  <c:v>1903</c:v>
                </c:pt>
                <c:pt idx="321">
                  <c:v>2482</c:v>
                </c:pt>
                <c:pt idx="322">
                  <c:v>2617</c:v>
                </c:pt>
                <c:pt idx="323">
                  <c:v>0</c:v>
                </c:pt>
                <c:pt idx="324">
                  <c:v>2778</c:v>
                </c:pt>
                <c:pt idx="325">
                  <c:v>3119</c:v>
                </c:pt>
                <c:pt idx="326">
                  <c:v>2664</c:v>
                </c:pt>
                <c:pt idx="327">
                  <c:v>2060</c:v>
                </c:pt>
                <c:pt idx="328">
                  <c:v>2060</c:v>
                </c:pt>
                <c:pt idx="329">
                  <c:v>2060</c:v>
                </c:pt>
                <c:pt idx="330">
                  <c:v>2060</c:v>
                </c:pt>
                <c:pt idx="331">
                  <c:v>2060</c:v>
                </c:pt>
                <c:pt idx="332">
                  <c:v>2060</c:v>
                </c:pt>
                <c:pt idx="333">
                  <c:v>735</c:v>
                </c:pt>
                <c:pt idx="334">
                  <c:v>1820</c:v>
                </c:pt>
                <c:pt idx="335">
                  <c:v>2224</c:v>
                </c:pt>
                <c:pt idx="336">
                  <c:v>1820</c:v>
                </c:pt>
                <c:pt idx="337">
                  <c:v>1820</c:v>
                </c:pt>
                <c:pt idx="338">
                  <c:v>2442</c:v>
                </c:pt>
                <c:pt idx="339">
                  <c:v>1849</c:v>
                </c:pt>
                <c:pt idx="340">
                  <c:v>1822</c:v>
                </c:pt>
                <c:pt idx="341">
                  <c:v>1820</c:v>
                </c:pt>
                <c:pt idx="342">
                  <c:v>251</c:v>
                </c:pt>
                <c:pt idx="343">
                  <c:v>3065</c:v>
                </c:pt>
                <c:pt idx="344">
                  <c:v>2207</c:v>
                </c:pt>
                <c:pt idx="345">
                  <c:v>1977</c:v>
                </c:pt>
                <c:pt idx="346">
                  <c:v>1841</c:v>
                </c:pt>
                <c:pt idx="347">
                  <c:v>4286</c:v>
                </c:pt>
                <c:pt idx="348">
                  <c:v>3920</c:v>
                </c:pt>
                <c:pt idx="349">
                  <c:v>3856</c:v>
                </c:pt>
                <c:pt idx="350">
                  <c:v>2584</c:v>
                </c:pt>
                <c:pt idx="351">
                  <c:v>787</c:v>
                </c:pt>
                <c:pt idx="352">
                  <c:v>2244</c:v>
                </c:pt>
                <c:pt idx="353">
                  <c:v>2188</c:v>
                </c:pt>
                <c:pt idx="354">
                  <c:v>2014</c:v>
                </c:pt>
                <c:pt idx="355">
                  <c:v>2115</c:v>
                </c:pt>
                <c:pt idx="356">
                  <c:v>2055</c:v>
                </c:pt>
                <c:pt idx="357">
                  <c:v>2437</c:v>
                </c:pt>
                <c:pt idx="358">
                  <c:v>2158</c:v>
                </c:pt>
                <c:pt idx="359">
                  <c:v>2170</c:v>
                </c:pt>
                <c:pt idx="360">
                  <c:v>2244</c:v>
                </c:pt>
                <c:pt idx="361">
                  <c:v>2188</c:v>
                </c:pt>
                <c:pt idx="362">
                  <c:v>2231</c:v>
                </c:pt>
                <c:pt idx="363">
                  <c:v>2100</c:v>
                </c:pt>
                <c:pt idx="364">
                  <c:v>2188</c:v>
                </c:pt>
                <c:pt idx="365">
                  <c:v>917</c:v>
                </c:pt>
                <c:pt idx="366">
                  <c:v>2573</c:v>
                </c:pt>
                <c:pt idx="367">
                  <c:v>2575</c:v>
                </c:pt>
                <c:pt idx="368">
                  <c:v>3086</c:v>
                </c:pt>
                <c:pt idx="369">
                  <c:v>2886</c:v>
                </c:pt>
                <c:pt idx="370">
                  <c:v>2676</c:v>
                </c:pt>
                <c:pt idx="371">
                  <c:v>2811</c:v>
                </c:pt>
                <c:pt idx="372">
                  <c:v>2840</c:v>
                </c:pt>
                <c:pt idx="373">
                  <c:v>2871</c:v>
                </c:pt>
                <c:pt idx="374">
                  <c:v>2613</c:v>
                </c:pt>
                <c:pt idx="375">
                  <c:v>2700</c:v>
                </c:pt>
                <c:pt idx="376">
                  <c:v>2871</c:v>
                </c:pt>
                <c:pt idx="377">
                  <c:v>1023</c:v>
                </c:pt>
                <c:pt idx="378">
                  <c:v>2496</c:v>
                </c:pt>
                <c:pt idx="379">
                  <c:v>1641</c:v>
                </c:pt>
                <c:pt idx="380">
                  <c:v>1794</c:v>
                </c:pt>
                <c:pt idx="381">
                  <c:v>2421</c:v>
                </c:pt>
                <c:pt idx="382">
                  <c:v>2439</c:v>
                </c:pt>
                <c:pt idx="383">
                  <c:v>2233</c:v>
                </c:pt>
                <c:pt idx="384">
                  <c:v>2862</c:v>
                </c:pt>
                <c:pt idx="385">
                  <c:v>2752</c:v>
                </c:pt>
                <c:pt idx="386">
                  <c:v>2519</c:v>
                </c:pt>
                <c:pt idx="387">
                  <c:v>1799</c:v>
                </c:pt>
                <c:pt idx="388">
                  <c:v>2543</c:v>
                </c:pt>
                <c:pt idx="389">
                  <c:v>625</c:v>
                </c:pt>
                <c:pt idx="390">
                  <c:v>3377</c:v>
                </c:pt>
                <c:pt idx="391">
                  <c:v>3697</c:v>
                </c:pt>
                <c:pt idx="392">
                  <c:v>3209</c:v>
                </c:pt>
                <c:pt idx="393">
                  <c:v>3167</c:v>
                </c:pt>
                <c:pt idx="394">
                  <c:v>3122</c:v>
                </c:pt>
                <c:pt idx="395">
                  <c:v>3176</c:v>
                </c:pt>
                <c:pt idx="396">
                  <c:v>2790</c:v>
                </c:pt>
                <c:pt idx="397">
                  <c:v>2715</c:v>
                </c:pt>
                <c:pt idx="398">
                  <c:v>2684</c:v>
                </c:pt>
                <c:pt idx="399">
                  <c:v>3097</c:v>
                </c:pt>
                <c:pt idx="400">
                  <c:v>791</c:v>
                </c:pt>
                <c:pt idx="401">
                  <c:v>1429</c:v>
                </c:pt>
                <c:pt idx="402">
                  <c:v>1429</c:v>
                </c:pt>
                <c:pt idx="403">
                  <c:v>1429</c:v>
                </c:pt>
                <c:pt idx="404">
                  <c:v>1429</c:v>
                </c:pt>
                <c:pt idx="405">
                  <c:v>1429</c:v>
                </c:pt>
                <c:pt idx="406">
                  <c:v>1607</c:v>
                </c:pt>
                <c:pt idx="407">
                  <c:v>1776</c:v>
                </c:pt>
                <c:pt idx="408">
                  <c:v>2162</c:v>
                </c:pt>
                <c:pt idx="409">
                  <c:v>1832</c:v>
                </c:pt>
                <c:pt idx="410">
                  <c:v>1657</c:v>
                </c:pt>
                <c:pt idx="411">
                  <c:v>1377</c:v>
                </c:pt>
                <c:pt idx="412">
                  <c:v>0</c:v>
                </c:pt>
                <c:pt idx="413">
                  <c:v>3669</c:v>
                </c:pt>
                <c:pt idx="414">
                  <c:v>2702</c:v>
                </c:pt>
                <c:pt idx="415">
                  <c:v>3304</c:v>
                </c:pt>
                <c:pt idx="416">
                  <c:v>4234</c:v>
                </c:pt>
                <c:pt idx="417">
                  <c:v>4128</c:v>
                </c:pt>
                <c:pt idx="418">
                  <c:v>3798</c:v>
                </c:pt>
                <c:pt idx="419">
                  <c:v>3839</c:v>
                </c:pt>
                <c:pt idx="420">
                  <c:v>3713</c:v>
                </c:pt>
                <c:pt idx="421">
                  <c:v>2606</c:v>
                </c:pt>
                <c:pt idx="422">
                  <c:v>2624</c:v>
                </c:pt>
                <c:pt idx="423">
                  <c:v>3775</c:v>
                </c:pt>
                <c:pt idx="424">
                  <c:v>1882</c:v>
                </c:pt>
                <c:pt idx="425">
                  <c:v>2360</c:v>
                </c:pt>
                <c:pt idx="426">
                  <c:v>2517</c:v>
                </c:pt>
                <c:pt idx="427">
                  <c:v>2400</c:v>
                </c:pt>
                <c:pt idx="428">
                  <c:v>2462</c:v>
                </c:pt>
                <c:pt idx="429">
                  <c:v>2786</c:v>
                </c:pt>
                <c:pt idx="430">
                  <c:v>2354</c:v>
                </c:pt>
                <c:pt idx="431">
                  <c:v>2437</c:v>
                </c:pt>
                <c:pt idx="432">
                  <c:v>1814</c:v>
                </c:pt>
                <c:pt idx="433">
                  <c:v>2260</c:v>
                </c:pt>
                <c:pt idx="434">
                  <c:v>3004</c:v>
                </c:pt>
                <c:pt idx="435">
                  <c:v>2667</c:v>
                </c:pt>
                <c:pt idx="436">
                  <c:v>2229</c:v>
                </c:pt>
                <c:pt idx="437">
                  <c:v>2100</c:v>
                </c:pt>
                <c:pt idx="438">
                  <c:v>2114</c:v>
                </c:pt>
                <c:pt idx="439">
                  <c:v>1961</c:v>
                </c:pt>
                <c:pt idx="440">
                  <c:v>1953</c:v>
                </c:pt>
                <c:pt idx="441">
                  <c:v>1890</c:v>
                </c:pt>
                <c:pt idx="442">
                  <c:v>2253</c:v>
                </c:pt>
                <c:pt idx="443">
                  <c:v>1725</c:v>
                </c:pt>
                <c:pt idx="444">
                  <c:v>728</c:v>
                </c:pt>
                <c:pt idx="445">
                  <c:v>3527</c:v>
                </c:pt>
                <c:pt idx="446">
                  <c:v>4220</c:v>
                </c:pt>
                <c:pt idx="447">
                  <c:v>3864</c:v>
                </c:pt>
                <c:pt idx="448">
                  <c:v>3662</c:v>
                </c:pt>
                <c:pt idx="449">
                  <c:v>2834</c:v>
                </c:pt>
                <c:pt idx="450">
                  <c:v>4039</c:v>
                </c:pt>
                <c:pt idx="451">
                  <c:v>2947</c:v>
                </c:pt>
                <c:pt idx="452">
                  <c:v>4196</c:v>
                </c:pt>
                <c:pt idx="453">
                  <c:v>3841</c:v>
                </c:pt>
                <c:pt idx="454">
                  <c:v>4526</c:v>
                </c:pt>
                <c:pt idx="455">
                  <c:v>2820</c:v>
                </c:pt>
                <c:pt idx="456">
                  <c:v>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D-482A-9CCB-415D62F7C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066304"/>
        <c:axId val="557063824"/>
      </c:scatterChart>
      <c:valAx>
        <c:axId val="557066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7063824"/>
        <c:crosses val="autoZero"/>
        <c:crossBetween val="midCat"/>
      </c:valAx>
      <c:valAx>
        <c:axId val="5570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706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dailyActivity_merged!$O$1</c:f>
              <c:strCache>
                <c:ptCount val="1"/>
                <c:pt idx="0">
                  <c:v>Calories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dailyActivity_merged!$C$2:$C$458</c:f>
              <c:numCache>
                <c:formatCode>General</c:formatCode>
                <c:ptCount val="457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224</c:v>
                </c:pt>
                <c:pt idx="19">
                  <c:v>1810</c:v>
                </c:pt>
                <c:pt idx="20">
                  <c:v>815</c:v>
                </c:pt>
                <c:pt idx="21">
                  <c:v>1985</c:v>
                </c:pt>
                <c:pt idx="22">
                  <c:v>1905</c:v>
                </c:pt>
                <c:pt idx="23">
                  <c:v>1552</c:v>
                </c:pt>
                <c:pt idx="24">
                  <c:v>1675</c:v>
                </c:pt>
                <c:pt idx="25">
                  <c:v>4506</c:v>
                </c:pt>
                <c:pt idx="26">
                  <c:v>9218</c:v>
                </c:pt>
                <c:pt idx="27">
                  <c:v>1556</c:v>
                </c:pt>
                <c:pt idx="28">
                  <c:v>2910</c:v>
                </c:pt>
                <c:pt idx="29">
                  <c:v>18464</c:v>
                </c:pt>
                <c:pt idx="30">
                  <c:v>1335</c:v>
                </c:pt>
                <c:pt idx="31">
                  <c:v>1004</c:v>
                </c:pt>
                <c:pt idx="32">
                  <c:v>1111</c:v>
                </c:pt>
                <c:pt idx="33">
                  <c:v>6344</c:v>
                </c:pt>
                <c:pt idx="34">
                  <c:v>3572</c:v>
                </c:pt>
                <c:pt idx="35">
                  <c:v>3910</c:v>
                </c:pt>
                <c:pt idx="36">
                  <c:v>10000</c:v>
                </c:pt>
                <c:pt idx="37">
                  <c:v>6627</c:v>
                </c:pt>
                <c:pt idx="38">
                  <c:v>4636</c:v>
                </c:pt>
                <c:pt idx="39">
                  <c:v>20237</c:v>
                </c:pt>
                <c:pt idx="40">
                  <c:v>12912</c:v>
                </c:pt>
                <c:pt idx="41">
                  <c:v>2819</c:v>
                </c:pt>
                <c:pt idx="42">
                  <c:v>9921</c:v>
                </c:pt>
                <c:pt idx="43">
                  <c:v>8046</c:v>
                </c:pt>
                <c:pt idx="44">
                  <c:v>11166</c:v>
                </c:pt>
                <c:pt idx="45">
                  <c:v>7842</c:v>
                </c:pt>
                <c:pt idx="46">
                  <c:v>13840</c:v>
                </c:pt>
                <c:pt idx="47">
                  <c:v>1329</c:v>
                </c:pt>
                <c:pt idx="48">
                  <c:v>6847</c:v>
                </c:pt>
                <c:pt idx="49">
                  <c:v>5367</c:v>
                </c:pt>
                <c:pt idx="50">
                  <c:v>2841</c:v>
                </c:pt>
                <c:pt idx="51">
                  <c:v>0</c:v>
                </c:pt>
                <c:pt idx="52">
                  <c:v>0</c:v>
                </c:pt>
                <c:pt idx="53">
                  <c:v>7</c:v>
                </c:pt>
                <c:pt idx="54">
                  <c:v>6344</c:v>
                </c:pt>
                <c:pt idx="55">
                  <c:v>5316</c:v>
                </c:pt>
                <c:pt idx="56">
                  <c:v>4979</c:v>
                </c:pt>
                <c:pt idx="57">
                  <c:v>6556</c:v>
                </c:pt>
                <c:pt idx="58">
                  <c:v>5430</c:v>
                </c:pt>
                <c:pt idx="59">
                  <c:v>0</c:v>
                </c:pt>
                <c:pt idx="60">
                  <c:v>4317</c:v>
                </c:pt>
                <c:pt idx="61">
                  <c:v>5662</c:v>
                </c:pt>
                <c:pt idx="62">
                  <c:v>3198</c:v>
                </c:pt>
                <c:pt idx="63">
                  <c:v>2352</c:v>
                </c:pt>
                <c:pt idx="64">
                  <c:v>2234</c:v>
                </c:pt>
                <c:pt idx="65">
                  <c:v>1259</c:v>
                </c:pt>
                <c:pt idx="66">
                  <c:v>768</c:v>
                </c:pt>
                <c:pt idx="67">
                  <c:v>519</c:v>
                </c:pt>
                <c:pt idx="68">
                  <c:v>2523</c:v>
                </c:pt>
                <c:pt idx="69">
                  <c:v>2105</c:v>
                </c:pt>
                <c:pt idx="70">
                  <c:v>1209</c:v>
                </c:pt>
                <c:pt idx="71">
                  <c:v>24</c:v>
                </c:pt>
                <c:pt idx="72">
                  <c:v>13603</c:v>
                </c:pt>
                <c:pt idx="73">
                  <c:v>5477</c:v>
                </c:pt>
                <c:pt idx="74">
                  <c:v>11144</c:v>
                </c:pt>
                <c:pt idx="75">
                  <c:v>15313</c:v>
                </c:pt>
                <c:pt idx="76">
                  <c:v>10805</c:v>
                </c:pt>
                <c:pt idx="77">
                  <c:v>15392</c:v>
                </c:pt>
                <c:pt idx="78">
                  <c:v>18247</c:v>
                </c:pt>
                <c:pt idx="79">
                  <c:v>13023</c:v>
                </c:pt>
                <c:pt idx="80">
                  <c:v>16267</c:v>
                </c:pt>
                <c:pt idx="81">
                  <c:v>10005</c:v>
                </c:pt>
                <c:pt idx="82">
                  <c:v>10106</c:v>
                </c:pt>
                <c:pt idx="83">
                  <c:v>6717</c:v>
                </c:pt>
                <c:pt idx="84">
                  <c:v>2605</c:v>
                </c:pt>
                <c:pt idx="85">
                  <c:v>1229</c:v>
                </c:pt>
                <c:pt idx="86">
                  <c:v>2308</c:v>
                </c:pt>
                <c:pt idx="87">
                  <c:v>6679</c:v>
                </c:pt>
                <c:pt idx="88">
                  <c:v>5645</c:v>
                </c:pt>
                <c:pt idx="89">
                  <c:v>3180</c:v>
                </c:pt>
                <c:pt idx="90">
                  <c:v>2767</c:v>
                </c:pt>
                <c:pt idx="91">
                  <c:v>3762</c:v>
                </c:pt>
                <c:pt idx="92">
                  <c:v>3098</c:v>
                </c:pt>
                <c:pt idx="93">
                  <c:v>5142</c:v>
                </c:pt>
                <c:pt idx="94">
                  <c:v>3279</c:v>
                </c:pt>
                <c:pt idx="95">
                  <c:v>1019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4931</c:v>
                </c:pt>
                <c:pt idx="101">
                  <c:v>6999</c:v>
                </c:pt>
                <c:pt idx="102">
                  <c:v>1846</c:v>
                </c:pt>
                <c:pt idx="103">
                  <c:v>3417</c:v>
                </c:pt>
                <c:pt idx="104">
                  <c:v>4863</c:v>
                </c:pt>
                <c:pt idx="105">
                  <c:v>2277</c:v>
                </c:pt>
                <c:pt idx="106">
                  <c:v>11230</c:v>
                </c:pt>
                <c:pt idx="107">
                  <c:v>2098</c:v>
                </c:pt>
                <c:pt idx="108">
                  <c:v>10272</c:v>
                </c:pt>
                <c:pt idx="109">
                  <c:v>10533</c:v>
                </c:pt>
                <c:pt idx="110">
                  <c:v>6760</c:v>
                </c:pt>
                <c:pt idx="111">
                  <c:v>8328</c:v>
                </c:pt>
                <c:pt idx="112">
                  <c:v>15459</c:v>
                </c:pt>
                <c:pt idx="113">
                  <c:v>7485</c:v>
                </c:pt>
                <c:pt idx="114">
                  <c:v>10254</c:v>
                </c:pt>
                <c:pt idx="115">
                  <c:v>10114</c:v>
                </c:pt>
                <c:pt idx="116">
                  <c:v>11107</c:v>
                </c:pt>
                <c:pt idx="117">
                  <c:v>10320</c:v>
                </c:pt>
                <c:pt idx="118">
                  <c:v>10209</c:v>
                </c:pt>
                <c:pt idx="119">
                  <c:v>16081</c:v>
                </c:pt>
                <c:pt idx="120">
                  <c:v>10078</c:v>
                </c:pt>
                <c:pt idx="121">
                  <c:v>10001</c:v>
                </c:pt>
                <c:pt idx="122">
                  <c:v>0</c:v>
                </c:pt>
                <c:pt idx="123">
                  <c:v>890</c:v>
                </c:pt>
                <c:pt idx="124">
                  <c:v>2214</c:v>
                </c:pt>
                <c:pt idx="125">
                  <c:v>7640</c:v>
                </c:pt>
                <c:pt idx="126">
                  <c:v>9713</c:v>
                </c:pt>
                <c:pt idx="127">
                  <c:v>8432</c:v>
                </c:pt>
                <c:pt idx="128">
                  <c:v>7350</c:v>
                </c:pt>
                <c:pt idx="129">
                  <c:v>9353</c:v>
                </c:pt>
                <c:pt idx="130">
                  <c:v>7157</c:v>
                </c:pt>
                <c:pt idx="131">
                  <c:v>14103</c:v>
                </c:pt>
                <c:pt idx="132">
                  <c:v>5290</c:v>
                </c:pt>
                <c:pt idx="133">
                  <c:v>7497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4126</c:v>
                </c:pt>
                <c:pt idx="140">
                  <c:v>0</c:v>
                </c:pt>
                <c:pt idx="141">
                  <c:v>0</c:v>
                </c:pt>
                <c:pt idx="142">
                  <c:v>2063</c:v>
                </c:pt>
                <c:pt idx="143">
                  <c:v>5785</c:v>
                </c:pt>
                <c:pt idx="144">
                  <c:v>7625</c:v>
                </c:pt>
                <c:pt idx="145">
                  <c:v>4706</c:v>
                </c:pt>
                <c:pt idx="146">
                  <c:v>5861</c:v>
                </c:pt>
                <c:pt idx="147">
                  <c:v>4460</c:v>
                </c:pt>
                <c:pt idx="148">
                  <c:v>6406</c:v>
                </c:pt>
                <c:pt idx="149">
                  <c:v>7392</c:v>
                </c:pt>
                <c:pt idx="150">
                  <c:v>5551</c:v>
                </c:pt>
                <c:pt idx="151">
                  <c:v>8827</c:v>
                </c:pt>
                <c:pt idx="152">
                  <c:v>4662</c:v>
                </c:pt>
                <c:pt idx="153">
                  <c:v>4499</c:v>
                </c:pt>
                <c:pt idx="154">
                  <c:v>7618</c:v>
                </c:pt>
                <c:pt idx="155">
                  <c:v>11508</c:v>
                </c:pt>
                <c:pt idx="156">
                  <c:v>11943</c:v>
                </c:pt>
                <c:pt idx="157">
                  <c:v>12303</c:v>
                </c:pt>
                <c:pt idx="158">
                  <c:v>15425</c:v>
                </c:pt>
                <c:pt idx="159">
                  <c:v>8422</c:v>
                </c:pt>
                <c:pt idx="160">
                  <c:v>10226</c:v>
                </c:pt>
                <c:pt idx="161">
                  <c:v>14583</c:v>
                </c:pt>
                <c:pt idx="162">
                  <c:v>3573</c:v>
                </c:pt>
                <c:pt idx="163">
                  <c:v>3108</c:v>
                </c:pt>
                <c:pt idx="164">
                  <c:v>759</c:v>
                </c:pt>
                <c:pt idx="165">
                  <c:v>5543</c:v>
                </c:pt>
                <c:pt idx="166">
                  <c:v>3226</c:v>
                </c:pt>
                <c:pt idx="167">
                  <c:v>3023</c:v>
                </c:pt>
                <c:pt idx="168">
                  <c:v>5906</c:v>
                </c:pt>
                <c:pt idx="169">
                  <c:v>12483</c:v>
                </c:pt>
                <c:pt idx="170">
                  <c:v>8940</c:v>
                </c:pt>
                <c:pt idx="171">
                  <c:v>368</c:v>
                </c:pt>
                <c:pt idx="172">
                  <c:v>5702</c:v>
                </c:pt>
                <c:pt idx="173">
                  <c:v>10330</c:v>
                </c:pt>
                <c:pt idx="174">
                  <c:v>8778</c:v>
                </c:pt>
                <c:pt idx="175">
                  <c:v>6662</c:v>
                </c:pt>
                <c:pt idx="176">
                  <c:v>6309</c:v>
                </c:pt>
                <c:pt idx="177">
                  <c:v>1951</c:v>
                </c:pt>
                <c:pt idx="178">
                  <c:v>5563</c:v>
                </c:pt>
                <c:pt idx="179">
                  <c:v>4370</c:v>
                </c:pt>
                <c:pt idx="180">
                  <c:v>7144</c:v>
                </c:pt>
                <c:pt idx="181">
                  <c:v>2106</c:v>
                </c:pt>
                <c:pt idx="182">
                  <c:v>4152</c:v>
                </c:pt>
                <c:pt idx="183">
                  <c:v>5400</c:v>
                </c:pt>
                <c:pt idx="184">
                  <c:v>7428</c:v>
                </c:pt>
                <c:pt idx="185">
                  <c:v>5351</c:v>
                </c:pt>
                <c:pt idx="186">
                  <c:v>4299</c:v>
                </c:pt>
                <c:pt idx="187">
                  <c:v>6107</c:v>
                </c:pt>
                <c:pt idx="188">
                  <c:v>6429</c:v>
                </c:pt>
                <c:pt idx="189">
                  <c:v>6880</c:v>
                </c:pt>
                <c:pt idx="190">
                  <c:v>7476</c:v>
                </c:pt>
                <c:pt idx="191">
                  <c:v>6581</c:v>
                </c:pt>
                <c:pt idx="192">
                  <c:v>10480</c:v>
                </c:pt>
                <c:pt idx="193">
                  <c:v>7734</c:v>
                </c:pt>
                <c:pt idx="194">
                  <c:v>5129</c:v>
                </c:pt>
                <c:pt idx="195">
                  <c:v>2993</c:v>
                </c:pt>
                <c:pt idx="196">
                  <c:v>8</c:v>
                </c:pt>
                <c:pt idx="197">
                  <c:v>0</c:v>
                </c:pt>
                <c:pt idx="198">
                  <c:v>0</c:v>
                </c:pt>
                <c:pt idx="199">
                  <c:v>8433</c:v>
                </c:pt>
                <c:pt idx="200">
                  <c:v>0</c:v>
                </c:pt>
                <c:pt idx="201">
                  <c:v>2139</c:v>
                </c:pt>
                <c:pt idx="202">
                  <c:v>0</c:v>
                </c:pt>
                <c:pt idx="203">
                  <c:v>949</c:v>
                </c:pt>
                <c:pt idx="204">
                  <c:v>0</c:v>
                </c:pt>
                <c:pt idx="205">
                  <c:v>44</c:v>
                </c:pt>
                <c:pt idx="206">
                  <c:v>2660</c:v>
                </c:pt>
                <c:pt idx="207">
                  <c:v>5561</c:v>
                </c:pt>
                <c:pt idx="208">
                  <c:v>7239</c:v>
                </c:pt>
                <c:pt idx="209">
                  <c:v>7</c:v>
                </c:pt>
                <c:pt idx="210">
                  <c:v>0</c:v>
                </c:pt>
                <c:pt idx="211">
                  <c:v>0</c:v>
                </c:pt>
                <c:pt idx="212">
                  <c:v>2275</c:v>
                </c:pt>
                <c:pt idx="213">
                  <c:v>8</c:v>
                </c:pt>
                <c:pt idx="214">
                  <c:v>5137</c:v>
                </c:pt>
                <c:pt idx="215">
                  <c:v>5419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18</c:v>
                </c:pt>
                <c:pt idx="223">
                  <c:v>4</c:v>
                </c:pt>
                <c:pt idx="224">
                  <c:v>8426</c:v>
                </c:pt>
                <c:pt idx="225">
                  <c:v>1650</c:v>
                </c:pt>
                <c:pt idx="226">
                  <c:v>3434</c:v>
                </c:pt>
                <c:pt idx="227">
                  <c:v>6801</c:v>
                </c:pt>
                <c:pt idx="228">
                  <c:v>187</c:v>
                </c:pt>
                <c:pt idx="229">
                  <c:v>5643</c:v>
                </c:pt>
                <c:pt idx="230">
                  <c:v>9043</c:v>
                </c:pt>
                <c:pt idx="231">
                  <c:v>8144</c:v>
                </c:pt>
                <c:pt idx="232">
                  <c:v>9343</c:v>
                </c:pt>
                <c:pt idx="233">
                  <c:v>8405</c:v>
                </c:pt>
                <c:pt idx="234">
                  <c:v>8223</c:v>
                </c:pt>
                <c:pt idx="235">
                  <c:v>10067</c:v>
                </c:pt>
                <c:pt idx="236">
                  <c:v>8359</c:v>
                </c:pt>
                <c:pt idx="237">
                  <c:v>10946</c:v>
                </c:pt>
                <c:pt idx="238">
                  <c:v>9130</c:v>
                </c:pt>
                <c:pt idx="239">
                  <c:v>6544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2303</c:v>
                </c:pt>
                <c:pt idx="250">
                  <c:v>2600</c:v>
                </c:pt>
                <c:pt idx="251">
                  <c:v>4804</c:v>
                </c:pt>
                <c:pt idx="252">
                  <c:v>3271</c:v>
                </c:pt>
                <c:pt idx="253">
                  <c:v>5406</c:v>
                </c:pt>
                <c:pt idx="254">
                  <c:v>3146</c:v>
                </c:pt>
                <c:pt idx="255">
                  <c:v>2422</c:v>
                </c:pt>
                <c:pt idx="256">
                  <c:v>4239</c:v>
                </c:pt>
                <c:pt idx="257">
                  <c:v>6911</c:v>
                </c:pt>
                <c:pt idx="258">
                  <c:v>6667</c:v>
                </c:pt>
                <c:pt idx="259">
                  <c:v>5543</c:v>
                </c:pt>
                <c:pt idx="260">
                  <c:v>4195</c:v>
                </c:pt>
                <c:pt idx="261">
                  <c:v>6625</c:v>
                </c:pt>
                <c:pt idx="262">
                  <c:v>5986</c:v>
                </c:pt>
                <c:pt idx="263">
                  <c:v>278</c:v>
                </c:pt>
                <c:pt idx="264">
                  <c:v>5336</c:v>
                </c:pt>
                <c:pt idx="265">
                  <c:v>3183</c:v>
                </c:pt>
                <c:pt idx="266">
                  <c:v>6176</c:v>
                </c:pt>
                <c:pt idx="267">
                  <c:v>8205</c:v>
                </c:pt>
                <c:pt idx="268">
                  <c:v>6799</c:v>
                </c:pt>
                <c:pt idx="269">
                  <c:v>5668</c:v>
                </c:pt>
                <c:pt idx="270">
                  <c:v>7998</c:v>
                </c:pt>
                <c:pt idx="271">
                  <c:v>4195</c:v>
                </c:pt>
                <c:pt idx="272">
                  <c:v>5512</c:v>
                </c:pt>
                <c:pt idx="273">
                  <c:v>6263</c:v>
                </c:pt>
                <c:pt idx="274">
                  <c:v>8828</c:v>
                </c:pt>
                <c:pt idx="275">
                  <c:v>1260</c:v>
                </c:pt>
                <c:pt idx="276">
                  <c:v>6506</c:v>
                </c:pt>
                <c:pt idx="277">
                  <c:v>7583</c:v>
                </c:pt>
                <c:pt idx="278">
                  <c:v>6963</c:v>
                </c:pt>
                <c:pt idx="279">
                  <c:v>7165</c:v>
                </c:pt>
                <c:pt idx="280">
                  <c:v>10328</c:v>
                </c:pt>
                <c:pt idx="281">
                  <c:v>12116</c:v>
                </c:pt>
                <c:pt idx="282">
                  <c:v>7810</c:v>
                </c:pt>
                <c:pt idx="283">
                  <c:v>6670</c:v>
                </c:pt>
                <c:pt idx="284">
                  <c:v>7605</c:v>
                </c:pt>
                <c:pt idx="285">
                  <c:v>6585</c:v>
                </c:pt>
                <c:pt idx="286">
                  <c:v>8184</c:v>
                </c:pt>
                <c:pt idx="287">
                  <c:v>14002</c:v>
                </c:pt>
                <c:pt idx="288">
                  <c:v>11135</c:v>
                </c:pt>
                <c:pt idx="289">
                  <c:v>6499</c:v>
                </c:pt>
                <c:pt idx="290">
                  <c:v>0</c:v>
                </c:pt>
                <c:pt idx="291">
                  <c:v>12409</c:v>
                </c:pt>
                <c:pt idx="292">
                  <c:v>2937</c:v>
                </c:pt>
                <c:pt idx="293">
                  <c:v>1515</c:v>
                </c:pt>
                <c:pt idx="294">
                  <c:v>8921</c:v>
                </c:pt>
                <c:pt idx="295">
                  <c:v>11306</c:v>
                </c:pt>
                <c:pt idx="296">
                  <c:v>12252</c:v>
                </c:pt>
                <c:pt idx="297">
                  <c:v>15444</c:v>
                </c:pt>
                <c:pt idx="298">
                  <c:v>9938</c:v>
                </c:pt>
                <c:pt idx="299">
                  <c:v>4599</c:v>
                </c:pt>
                <c:pt idx="300">
                  <c:v>5594</c:v>
                </c:pt>
                <c:pt idx="301">
                  <c:v>11906</c:v>
                </c:pt>
                <c:pt idx="302">
                  <c:v>3436</c:v>
                </c:pt>
                <c:pt idx="303">
                  <c:v>10461</c:v>
                </c:pt>
                <c:pt idx="304">
                  <c:v>14873</c:v>
                </c:pt>
                <c:pt idx="305">
                  <c:v>9917</c:v>
                </c:pt>
                <c:pt idx="306">
                  <c:v>7401</c:v>
                </c:pt>
                <c:pt idx="307">
                  <c:v>8964</c:v>
                </c:pt>
                <c:pt idx="308">
                  <c:v>11080</c:v>
                </c:pt>
                <c:pt idx="309">
                  <c:v>4499</c:v>
                </c:pt>
                <c:pt idx="310">
                  <c:v>4363</c:v>
                </c:pt>
                <c:pt idx="311">
                  <c:v>10494</c:v>
                </c:pt>
                <c:pt idx="312">
                  <c:v>9776</c:v>
                </c:pt>
                <c:pt idx="313">
                  <c:v>2862</c:v>
                </c:pt>
                <c:pt idx="314">
                  <c:v>7444</c:v>
                </c:pt>
                <c:pt idx="315">
                  <c:v>19658</c:v>
                </c:pt>
                <c:pt idx="316">
                  <c:v>0</c:v>
                </c:pt>
                <c:pt idx="317">
                  <c:v>8468</c:v>
                </c:pt>
                <c:pt idx="318">
                  <c:v>9910</c:v>
                </c:pt>
                <c:pt idx="319">
                  <c:v>12409</c:v>
                </c:pt>
                <c:pt idx="320">
                  <c:v>4853</c:v>
                </c:pt>
                <c:pt idx="321">
                  <c:v>8955</c:v>
                </c:pt>
                <c:pt idx="322">
                  <c:v>10789</c:v>
                </c:pt>
                <c:pt idx="323">
                  <c:v>0</c:v>
                </c:pt>
                <c:pt idx="324">
                  <c:v>6633</c:v>
                </c:pt>
                <c:pt idx="325">
                  <c:v>9548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2101</c:v>
                </c:pt>
                <c:pt idx="336">
                  <c:v>0</c:v>
                </c:pt>
                <c:pt idx="337">
                  <c:v>0</c:v>
                </c:pt>
                <c:pt idx="338">
                  <c:v>9766</c:v>
                </c:pt>
                <c:pt idx="339">
                  <c:v>165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7225</c:v>
                </c:pt>
                <c:pt idx="344">
                  <c:v>1988</c:v>
                </c:pt>
                <c:pt idx="345">
                  <c:v>1577</c:v>
                </c:pt>
                <c:pt idx="346">
                  <c:v>0</c:v>
                </c:pt>
                <c:pt idx="347">
                  <c:v>9348</c:v>
                </c:pt>
                <c:pt idx="348">
                  <c:v>11761</c:v>
                </c:pt>
                <c:pt idx="349">
                  <c:v>13987</c:v>
                </c:pt>
                <c:pt idx="350">
                  <c:v>4131</c:v>
                </c:pt>
                <c:pt idx="351">
                  <c:v>14</c:v>
                </c:pt>
                <c:pt idx="352">
                  <c:v>15491</c:v>
                </c:pt>
                <c:pt idx="353">
                  <c:v>14097</c:v>
                </c:pt>
                <c:pt idx="354">
                  <c:v>10467</c:v>
                </c:pt>
                <c:pt idx="355">
                  <c:v>12437</c:v>
                </c:pt>
                <c:pt idx="356">
                  <c:v>12307</c:v>
                </c:pt>
                <c:pt idx="357">
                  <c:v>18952</c:v>
                </c:pt>
                <c:pt idx="358">
                  <c:v>12010</c:v>
                </c:pt>
                <c:pt idx="359">
                  <c:v>12480</c:v>
                </c:pt>
                <c:pt idx="360">
                  <c:v>13417</c:v>
                </c:pt>
                <c:pt idx="361">
                  <c:v>14400</c:v>
                </c:pt>
                <c:pt idx="362">
                  <c:v>12495</c:v>
                </c:pt>
                <c:pt idx="363">
                  <c:v>10148</c:v>
                </c:pt>
                <c:pt idx="364">
                  <c:v>12362</c:v>
                </c:pt>
                <c:pt idx="365">
                  <c:v>5893</c:v>
                </c:pt>
                <c:pt idx="366">
                  <c:v>11680</c:v>
                </c:pt>
                <c:pt idx="367">
                  <c:v>10976</c:v>
                </c:pt>
                <c:pt idx="368">
                  <c:v>16806</c:v>
                </c:pt>
                <c:pt idx="369">
                  <c:v>15266</c:v>
                </c:pt>
                <c:pt idx="370">
                  <c:v>12084</c:v>
                </c:pt>
                <c:pt idx="371">
                  <c:v>13513</c:v>
                </c:pt>
                <c:pt idx="372">
                  <c:v>14100</c:v>
                </c:pt>
                <c:pt idx="373">
                  <c:v>12627</c:v>
                </c:pt>
                <c:pt idx="374">
                  <c:v>10345</c:v>
                </c:pt>
                <c:pt idx="375">
                  <c:v>10146</c:v>
                </c:pt>
                <c:pt idx="376">
                  <c:v>12168</c:v>
                </c:pt>
                <c:pt idx="377">
                  <c:v>7413</c:v>
                </c:pt>
                <c:pt idx="378">
                  <c:v>11463</c:v>
                </c:pt>
                <c:pt idx="379">
                  <c:v>87</c:v>
                </c:pt>
                <c:pt idx="380">
                  <c:v>1949</c:v>
                </c:pt>
                <c:pt idx="381">
                  <c:v>6101</c:v>
                </c:pt>
                <c:pt idx="382">
                  <c:v>7478</c:v>
                </c:pt>
                <c:pt idx="383">
                  <c:v>7352</c:v>
                </c:pt>
                <c:pt idx="384">
                  <c:v>14604</c:v>
                </c:pt>
                <c:pt idx="385">
                  <c:v>9634</c:v>
                </c:pt>
                <c:pt idx="386">
                  <c:v>7338</c:v>
                </c:pt>
                <c:pt idx="387">
                  <c:v>569</c:v>
                </c:pt>
                <c:pt idx="388">
                  <c:v>6242</c:v>
                </c:pt>
                <c:pt idx="389">
                  <c:v>430</c:v>
                </c:pt>
                <c:pt idx="390">
                  <c:v>20188</c:v>
                </c:pt>
                <c:pt idx="391">
                  <c:v>25701</c:v>
                </c:pt>
                <c:pt idx="392">
                  <c:v>17395</c:v>
                </c:pt>
                <c:pt idx="393">
                  <c:v>17167</c:v>
                </c:pt>
                <c:pt idx="394">
                  <c:v>16435</c:v>
                </c:pt>
                <c:pt idx="395">
                  <c:v>17078</c:v>
                </c:pt>
                <c:pt idx="396">
                  <c:v>11693</c:v>
                </c:pt>
                <c:pt idx="397">
                  <c:v>11159</c:v>
                </c:pt>
                <c:pt idx="398">
                  <c:v>10118</c:v>
                </c:pt>
                <c:pt idx="399">
                  <c:v>16064</c:v>
                </c:pt>
                <c:pt idx="400">
                  <c:v>290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1931</c:v>
                </c:pt>
                <c:pt idx="407">
                  <c:v>5181</c:v>
                </c:pt>
                <c:pt idx="408">
                  <c:v>12026</c:v>
                </c:pt>
                <c:pt idx="409">
                  <c:v>5360</c:v>
                </c:pt>
                <c:pt idx="410">
                  <c:v>2545</c:v>
                </c:pt>
                <c:pt idx="411">
                  <c:v>1636</c:v>
                </c:pt>
                <c:pt idx="412">
                  <c:v>0</c:v>
                </c:pt>
                <c:pt idx="413">
                  <c:v>14179</c:v>
                </c:pt>
                <c:pt idx="414">
                  <c:v>3358</c:v>
                </c:pt>
                <c:pt idx="415">
                  <c:v>9152</c:v>
                </c:pt>
                <c:pt idx="416">
                  <c:v>13935</c:v>
                </c:pt>
                <c:pt idx="417">
                  <c:v>12846</c:v>
                </c:pt>
                <c:pt idx="418">
                  <c:v>9124</c:v>
                </c:pt>
                <c:pt idx="419">
                  <c:v>9725</c:v>
                </c:pt>
                <c:pt idx="420">
                  <c:v>8350</c:v>
                </c:pt>
                <c:pt idx="421">
                  <c:v>2240</c:v>
                </c:pt>
                <c:pt idx="422">
                  <c:v>2631</c:v>
                </c:pt>
                <c:pt idx="423">
                  <c:v>8837</c:v>
                </c:pt>
                <c:pt idx="424">
                  <c:v>3246</c:v>
                </c:pt>
                <c:pt idx="425">
                  <c:v>2174</c:v>
                </c:pt>
                <c:pt idx="426">
                  <c:v>3494</c:v>
                </c:pt>
                <c:pt idx="427">
                  <c:v>2380</c:v>
                </c:pt>
                <c:pt idx="428">
                  <c:v>3159</c:v>
                </c:pt>
                <c:pt idx="429">
                  <c:v>6835</c:v>
                </c:pt>
                <c:pt idx="430">
                  <c:v>2098</c:v>
                </c:pt>
                <c:pt idx="431">
                  <c:v>2816</c:v>
                </c:pt>
                <c:pt idx="432">
                  <c:v>1408</c:v>
                </c:pt>
                <c:pt idx="433">
                  <c:v>4592</c:v>
                </c:pt>
                <c:pt idx="434">
                  <c:v>8452</c:v>
                </c:pt>
                <c:pt idx="435">
                  <c:v>7238</c:v>
                </c:pt>
                <c:pt idx="436">
                  <c:v>3821</c:v>
                </c:pt>
                <c:pt idx="437">
                  <c:v>2332</c:v>
                </c:pt>
                <c:pt idx="438">
                  <c:v>2121</c:v>
                </c:pt>
                <c:pt idx="439">
                  <c:v>1291</c:v>
                </c:pt>
                <c:pt idx="440">
                  <c:v>1467</c:v>
                </c:pt>
                <c:pt idx="441">
                  <c:v>1022</c:v>
                </c:pt>
                <c:pt idx="442">
                  <c:v>4605</c:v>
                </c:pt>
                <c:pt idx="443">
                  <c:v>178</c:v>
                </c:pt>
                <c:pt idx="444">
                  <c:v>20</c:v>
                </c:pt>
                <c:pt idx="445">
                  <c:v>18700</c:v>
                </c:pt>
                <c:pt idx="446">
                  <c:v>27572</c:v>
                </c:pt>
                <c:pt idx="447">
                  <c:v>15260</c:v>
                </c:pt>
                <c:pt idx="448">
                  <c:v>20779</c:v>
                </c:pt>
                <c:pt idx="449">
                  <c:v>10695</c:v>
                </c:pt>
                <c:pt idx="450">
                  <c:v>24136</c:v>
                </c:pt>
                <c:pt idx="451">
                  <c:v>10910</c:v>
                </c:pt>
                <c:pt idx="452">
                  <c:v>23014</c:v>
                </c:pt>
                <c:pt idx="453">
                  <c:v>16470</c:v>
                </c:pt>
                <c:pt idx="454">
                  <c:v>28497</c:v>
                </c:pt>
                <c:pt idx="455">
                  <c:v>10622</c:v>
                </c:pt>
                <c:pt idx="456">
                  <c:v>2350</c:v>
                </c:pt>
              </c:numCache>
            </c:numRef>
          </c:xVal>
          <c:yVal>
            <c:numRef>
              <c:f>dailyActivity_merged!$O$2:$O$458</c:f>
              <c:numCache>
                <c:formatCode>General</c:formatCode>
                <c:ptCount val="457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50</c:v>
                </c:pt>
                <c:pt idx="19">
                  <c:v>1373</c:v>
                </c:pt>
                <c:pt idx="20">
                  <c:v>1264</c:v>
                </c:pt>
                <c:pt idx="21">
                  <c:v>1350</c:v>
                </c:pt>
                <c:pt idx="22">
                  <c:v>1342</c:v>
                </c:pt>
                <c:pt idx="23">
                  <c:v>1300</c:v>
                </c:pt>
                <c:pt idx="24">
                  <c:v>1313</c:v>
                </c:pt>
                <c:pt idx="25">
                  <c:v>1498</c:v>
                </c:pt>
                <c:pt idx="26">
                  <c:v>1541</c:v>
                </c:pt>
                <c:pt idx="27">
                  <c:v>1327</c:v>
                </c:pt>
                <c:pt idx="28">
                  <c:v>1452</c:v>
                </c:pt>
                <c:pt idx="29">
                  <c:v>1574</c:v>
                </c:pt>
                <c:pt idx="30">
                  <c:v>1308</c:v>
                </c:pt>
                <c:pt idx="31">
                  <c:v>1276</c:v>
                </c:pt>
                <c:pt idx="32">
                  <c:v>1278</c:v>
                </c:pt>
                <c:pt idx="33">
                  <c:v>1409</c:v>
                </c:pt>
                <c:pt idx="34">
                  <c:v>1370</c:v>
                </c:pt>
                <c:pt idx="35">
                  <c:v>1555</c:v>
                </c:pt>
                <c:pt idx="36">
                  <c:v>1469</c:v>
                </c:pt>
                <c:pt idx="37">
                  <c:v>706</c:v>
                </c:pt>
                <c:pt idx="38">
                  <c:v>3323</c:v>
                </c:pt>
                <c:pt idx="39">
                  <c:v>4029</c:v>
                </c:pt>
                <c:pt idx="40">
                  <c:v>3436</c:v>
                </c:pt>
                <c:pt idx="41">
                  <c:v>2444</c:v>
                </c:pt>
                <c:pt idx="42">
                  <c:v>3098</c:v>
                </c:pt>
                <c:pt idx="43">
                  <c:v>2925</c:v>
                </c:pt>
                <c:pt idx="44">
                  <c:v>3202</c:v>
                </c:pt>
                <c:pt idx="45">
                  <c:v>2928</c:v>
                </c:pt>
                <c:pt idx="46">
                  <c:v>3290</c:v>
                </c:pt>
                <c:pt idx="47">
                  <c:v>489</c:v>
                </c:pt>
                <c:pt idx="48">
                  <c:v>1969</c:v>
                </c:pt>
                <c:pt idx="49">
                  <c:v>1889</c:v>
                </c:pt>
                <c:pt idx="50">
                  <c:v>1636</c:v>
                </c:pt>
                <c:pt idx="51">
                  <c:v>1347</c:v>
                </c:pt>
                <c:pt idx="52">
                  <c:v>1347</c:v>
                </c:pt>
                <c:pt idx="53">
                  <c:v>1349</c:v>
                </c:pt>
                <c:pt idx="54">
                  <c:v>1965</c:v>
                </c:pt>
                <c:pt idx="55">
                  <c:v>1824</c:v>
                </c:pt>
                <c:pt idx="56">
                  <c:v>1807</c:v>
                </c:pt>
                <c:pt idx="57">
                  <c:v>1971</c:v>
                </c:pt>
                <c:pt idx="58">
                  <c:v>1888</c:v>
                </c:pt>
                <c:pt idx="59">
                  <c:v>399</c:v>
                </c:pt>
                <c:pt idx="60">
                  <c:v>2590</c:v>
                </c:pt>
                <c:pt idx="61">
                  <c:v>2783</c:v>
                </c:pt>
                <c:pt idx="62">
                  <c:v>2449</c:v>
                </c:pt>
                <c:pt idx="63">
                  <c:v>2380</c:v>
                </c:pt>
                <c:pt idx="64">
                  <c:v>2344</c:v>
                </c:pt>
                <c:pt idx="65">
                  <c:v>2202</c:v>
                </c:pt>
                <c:pt idx="66">
                  <c:v>2130</c:v>
                </c:pt>
                <c:pt idx="67">
                  <c:v>2088</c:v>
                </c:pt>
                <c:pt idx="68">
                  <c:v>2443</c:v>
                </c:pt>
                <c:pt idx="69">
                  <c:v>2442</c:v>
                </c:pt>
                <c:pt idx="70">
                  <c:v>2255</c:v>
                </c:pt>
                <c:pt idx="71">
                  <c:v>942</c:v>
                </c:pt>
                <c:pt idx="72">
                  <c:v>2645</c:v>
                </c:pt>
                <c:pt idx="73">
                  <c:v>2040</c:v>
                </c:pt>
                <c:pt idx="74">
                  <c:v>2395</c:v>
                </c:pt>
                <c:pt idx="75">
                  <c:v>2581</c:v>
                </c:pt>
                <c:pt idx="76">
                  <c:v>2735</c:v>
                </c:pt>
                <c:pt idx="77">
                  <c:v>2733</c:v>
                </c:pt>
                <c:pt idx="78">
                  <c:v>3021</c:v>
                </c:pt>
                <c:pt idx="79">
                  <c:v>2577</c:v>
                </c:pt>
                <c:pt idx="80">
                  <c:v>2811</c:v>
                </c:pt>
                <c:pt idx="81">
                  <c:v>2458</c:v>
                </c:pt>
                <c:pt idx="82">
                  <c:v>2568</c:v>
                </c:pt>
                <c:pt idx="83">
                  <c:v>1140</c:v>
                </c:pt>
                <c:pt idx="84">
                  <c:v>1407</c:v>
                </c:pt>
                <c:pt idx="85">
                  <c:v>1237</c:v>
                </c:pt>
                <c:pt idx="86">
                  <c:v>1330</c:v>
                </c:pt>
                <c:pt idx="87">
                  <c:v>1583</c:v>
                </c:pt>
                <c:pt idx="88">
                  <c:v>1538</c:v>
                </c:pt>
                <c:pt idx="89">
                  <c:v>1421</c:v>
                </c:pt>
                <c:pt idx="90">
                  <c:v>1392</c:v>
                </c:pt>
                <c:pt idx="91">
                  <c:v>1425</c:v>
                </c:pt>
                <c:pt idx="92">
                  <c:v>1413</c:v>
                </c:pt>
                <c:pt idx="93">
                  <c:v>1515</c:v>
                </c:pt>
                <c:pt idx="94">
                  <c:v>1405</c:v>
                </c:pt>
                <c:pt idx="95">
                  <c:v>600</c:v>
                </c:pt>
                <c:pt idx="96">
                  <c:v>1324</c:v>
                </c:pt>
                <c:pt idx="97">
                  <c:v>1324</c:v>
                </c:pt>
                <c:pt idx="98">
                  <c:v>1324</c:v>
                </c:pt>
                <c:pt idx="99">
                  <c:v>1324</c:v>
                </c:pt>
                <c:pt idx="100">
                  <c:v>1708</c:v>
                </c:pt>
                <c:pt idx="101">
                  <c:v>1950</c:v>
                </c:pt>
                <c:pt idx="102">
                  <c:v>1508</c:v>
                </c:pt>
                <c:pt idx="103">
                  <c:v>1625</c:v>
                </c:pt>
                <c:pt idx="104">
                  <c:v>1772</c:v>
                </c:pt>
                <c:pt idx="105">
                  <c:v>1530</c:v>
                </c:pt>
                <c:pt idx="106">
                  <c:v>2206</c:v>
                </c:pt>
                <c:pt idx="107">
                  <c:v>790</c:v>
                </c:pt>
                <c:pt idx="108">
                  <c:v>2041</c:v>
                </c:pt>
                <c:pt idx="109">
                  <c:v>2187</c:v>
                </c:pt>
                <c:pt idx="110">
                  <c:v>1929</c:v>
                </c:pt>
                <c:pt idx="111">
                  <c:v>1935</c:v>
                </c:pt>
                <c:pt idx="112">
                  <c:v>2438</c:v>
                </c:pt>
                <c:pt idx="113">
                  <c:v>2035</c:v>
                </c:pt>
                <c:pt idx="114">
                  <c:v>2099</c:v>
                </c:pt>
                <c:pt idx="115">
                  <c:v>2096</c:v>
                </c:pt>
                <c:pt idx="116">
                  <c:v>2058</c:v>
                </c:pt>
                <c:pt idx="117">
                  <c:v>2338</c:v>
                </c:pt>
                <c:pt idx="118">
                  <c:v>2104</c:v>
                </c:pt>
                <c:pt idx="119">
                  <c:v>2488</c:v>
                </c:pt>
                <c:pt idx="120">
                  <c:v>2164</c:v>
                </c:pt>
                <c:pt idx="121">
                  <c:v>2009</c:v>
                </c:pt>
                <c:pt idx="122">
                  <c:v>399</c:v>
                </c:pt>
                <c:pt idx="123">
                  <c:v>1335</c:v>
                </c:pt>
                <c:pt idx="124">
                  <c:v>1559</c:v>
                </c:pt>
                <c:pt idx="125">
                  <c:v>1845</c:v>
                </c:pt>
                <c:pt idx="126">
                  <c:v>2046</c:v>
                </c:pt>
                <c:pt idx="127">
                  <c:v>1953</c:v>
                </c:pt>
                <c:pt idx="128">
                  <c:v>1910</c:v>
                </c:pt>
                <c:pt idx="129">
                  <c:v>2035</c:v>
                </c:pt>
                <c:pt idx="130">
                  <c:v>1944</c:v>
                </c:pt>
                <c:pt idx="131">
                  <c:v>2257</c:v>
                </c:pt>
                <c:pt idx="132">
                  <c:v>1724</c:v>
                </c:pt>
                <c:pt idx="133">
                  <c:v>1741</c:v>
                </c:pt>
                <c:pt idx="134">
                  <c:v>0</c:v>
                </c:pt>
                <c:pt idx="135">
                  <c:v>1920</c:v>
                </c:pt>
                <c:pt idx="136">
                  <c:v>1920</c:v>
                </c:pt>
                <c:pt idx="137">
                  <c:v>1920</c:v>
                </c:pt>
                <c:pt idx="138">
                  <c:v>4562</c:v>
                </c:pt>
                <c:pt idx="139">
                  <c:v>2881</c:v>
                </c:pt>
                <c:pt idx="140">
                  <c:v>1920</c:v>
                </c:pt>
                <c:pt idx="141">
                  <c:v>1920</c:v>
                </c:pt>
                <c:pt idx="142">
                  <c:v>1144</c:v>
                </c:pt>
                <c:pt idx="143">
                  <c:v>1852</c:v>
                </c:pt>
                <c:pt idx="144">
                  <c:v>2069</c:v>
                </c:pt>
                <c:pt idx="145">
                  <c:v>1816</c:v>
                </c:pt>
                <c:pt idx="146">
                  <c:v>1878</c:v>
                </c:pt>
                <c:pt idx="147">
                  <c:v>1787</c:v>
                </c:pt>
                <c:pt idx="148">
                  <c:v>2010</c:v>
                </c:pt>
                <c:pt idx="149">
                  <c:v>2038</c:v>
                </c:pt>
                <c:pt idx="150">
                  <c:v>1815</c:v>
                </c:pt>
                <c:pt idx="151">
                  <c:v>2062</c:v>
                </c:pt>
                <c:pt idx="152">
                  <c:v>1276</c:v>
                </c:pt>
                <c:pt idx="153">
                  <c:v>1288</c:v>
                </c:pt>
                <c:pt idx="154">
                  <c:v>1490</c:v>
                </c:pt>
                <c:pt idx="155">
                  <c:v>1630</c:v>
                </c:pt>
                <c:pt idx="156">
                  <c:v>1648</c:v>
                </c:pt>
                <c:pt idx="157">
                  <c:v>1649</c:v>
                </c:pt>
                <c:pt idx="158">
                  <c:v>1783</c:v>
                </c:pt>
                <c:pt idx="159">
                  <c:v>1431</c:v>
                </c:pt>
                <c:pt idx="160">
                  <c:v>1524</c:v>
                </c:pt>
                <c:pt idx="161">
                  <c:v>1697</c:v>
                </c:pt>
                <c:pt idx="162">
                  <c:v>1232</c:v>
                </c:pt>
                <c:pt idx="163">
                  <c:v>1223</c:v>
                </c:pt>
                <c:pt idx="164">
                  <c:v>182</c:v>
                </c:pt>
                <c:pt idx="165">
                  <c:v>2990</c:v>
                </c:pt>
                <c:pt idx="166">
                  <c:v>2480</c:v>
                </c:pt>
                <c:pt idx="167">
                  <c:v>2570</c:v>
                </c:pt>
                <c:pt idx="168">
                  <c:v>3016</c:v>
                </c:pt>
                <c:pt idx="169">
                  <c:v>3830</c:v>
                </c:pt>
                <c:pt idx="170">
                  <c:v>3706</c:v>
                </c:pt>
                <c:pt idx="171">
                  <c:v>2024</c:v>
                </c:pt>
                <c:pt idx="172">
                  <c:v>2980</c:v>
                </c:pt>
                <c:pt idx="173">
                  <c:v>3728</c:v>
                </c:pt>
                <c:pt idx="174">
                  <c:v>3348</c:v>
                </c:pt>
                <c:pt idx="175">
                  <c:v>3162</c:v>
                </c:pt>
                <c:pt idx="176">
                  <c:v>3140</c:v>
                </c:pt>
                <c:pt idx="177">
                  <c:v>1980</c:v>
                </c:pt>
                <c:pt idx="178">
                  <c:v>3681</c:v>
                </c:pt>
                <c:pt idx="179">
                  <c:v>3444</c:v>
                </c:pt>
                <c:pt idx="180">
                  <c:v>3510</c:v>
                </c:pt>
                <c:pt idx="181">
                  <c:v>4010</c:v>
                </c:pt>
                <c:pt idx="182">
                  <c:v>2976</c:v>
                </c:pt>
                <c:pt idx="183">
                  <c:v>3418</c:v>
                </c:pt>
                <c:pt idx="184">
                  <c:v>3439</c:v>
                </c:pt>
                <c:pt idx="185">
                  <c:v>3338</c:v>
                </c:pt>
                <c:pt idx="186">
                  <c:v>2892</c:v>
                </c:pt>
                <c:pt idx="187">
                  <c:v>3313</c:v>
                </c:pt>
                <c:pt idx="188">
                  <c:v>3118</c:v>
                </c:pt>
                <c:pt idx="189">
                  <c:v>2966</c:v>
                </c:pt>
                <c:pt idx="190">
                  <c:v>3253</c:v>
                </c:pt>
                <c:pt idx="191">
                  <c:v>3032</c:v>
                </c:pt>
                <c:pt idx="192">
                  <c:v>4034</c:v>
                </c:pt>
                <c:pt idx="193">
                  <c:v>3264</c:v>
                </c:pt>
                <c:pt idx="194">
                  <c:v>2817</c:v>
                </c:pt>
                <c:pt idx="195">
                  <c:v>2507</c:v>
                </c:pt>
                <c:pt idx="196">
                  <c:v>446</c:v>
                </c:pt>
                <c:pt idx="197">
                  <c:v>1777</c:v>
                </c:pt>
                <c:pt idx="198">
                  <c:v>1777</c:v>
                </c:pt>
                <c:pt idx="199">
                  <c:v>2453</c:v>
                </c:pt>
                <c:pt idx="200">
                  <c:v>1776</c:v>
                </c:pt>
                <c:pt idx="201">
                  <c:v>1935</c:v>
                </c:pt>
                <c:pt idx="202">
                  <c:v>1776</c:v>
                </c:pt>
                <c:pt idx="203">
                  <c:v>1870</c:v>
                </c:pt>
                <c:pt idx="204">
                  <c:v>1777</c:v>
                </c:pt>
                <c:pt idx="205">
                  <c:v>1782</c:v>
                </c:pt>
                <c:pt idx="206">
                  <c:v>1978</c:v>
                </c:pt>
                <c:pt idx="207">
                  <c:v>2296</c:v>
                </c:pt>
                <c:pt idx="208">
                  <c:v>2484</c:v>
                </c:pt>
                <c:pt idx="209">
                  <c:v>1787</c:v>
                </c:pt>
                <c:pt idx="210">
                  <c:v>1776</c:v>
                </c:pt>
                <c:pt idx="211">
                  <c:v>1776</c:v>
                </c:pt>
                <c:pt idx="212">
                  <c:v>2005</c:v>
                </c:pt>
                <c:pt idx="213">
                  <c:v>1778</c:v>
                </c:pt>
                <c:pt idx="214">
                  <c:v>2293</c:v>
                </c:pt>
                <c:pt idx="215">
                  <c:v>2259</c:v>
                </c:pt>
                <c:pt idx="216">
                  <c:v>1776</c:v>
                </c:pt>
                <c:pt idx="217">
                  <c:v>1776</c:v>
                </c:pt>
                <c:pt idx="218">
                  <c:v>1776</c:v>
                </c:pt>
                <c:pt idx="219">
                  <c:v>1776</c:v>
                </c:pt>
                <c:pt idx="220">
                  <c:v>1776</c:v>
                </c:pt>
                <c:pt idx="221">
                  <c:v>1776</c:v>
                </c:pt>
                <c:pt idx="222">
                  <c:v>1780</c:v>
                </c:pt>
                <c:pt idx="223">
                  <c:v>1778</c:v>
                </c:pt>
                <c:pt idx="224">
                  <c:v>2360</c:v>
                </c:pt>
                <c:pt idx="225">
                  <c:v>1952</c:v>
                </c:pt>
                <c:pt idx="226">
                  <c:v>2101</c:v>
                </c:pt>
                <c:pt idx="227">
                  <c:v>2393</c:v>
                </c:pt>
                <c:pt idx="228">
                  <c:v>538</c:v>
                </c:pt>
                <c:pt idx="229">
                  <c:v>1958</c:v>
                </c:pt>
                <c:pt idx="230">
                  <c:v>2141</c:v>
                </c:pt>
                <c:pt idx="231">
                  <c:v>2129</c:v>
                </c:pt>
                <c:pt idx="232">
                  <c:v>2216</c:v>
                </c:pt>
                <c:pt idx="233">
                  <c:v>2154</c:v>
                </c:pt>
                <c:pt idx="234">
                  <c:v>2178</c:v>
                </c:pt>
                <c:pt idx="235">
                  <c:v>2308</c:v>
                </c:pt>
                <c:pt idx="236">
                  <c:v>2201</c:v>
                </c:pt>
                <c:pt idx="237">
                  <c:v>2341</c:v>
                </c:pt>
                <c:pt idx="238">
                  <c:v>2236</c:v>
                </c:pt>
                <c:pt idx="239">
                  <c:v>2069</c:v>
                </c:pt>
                <c:pt idx="240">
                  <c:v>0</c:v>
                </c:pt>
                <c:pt idx="241">
                  <c:v>1878</c:v>
                </c:pt>
                <c:pt idx="242">
                  <c:v>1878</c:v>
                </c:pt>
                <c:pt idx="243">
                  <c:v>1878</c:v>
                </c:pt>
                <c:pt idx="244">
                  <c:v>1878</c:v>
                </c:pt>
                <c:pt idx="245">
                  <c:v>1878</c:v>
                </c:pt>
                <c:pt idx="246">
                  <c:v>1878</c:v>
                </c:pt>
                <c:pt idx="247">
                  <c:v>1878</c:v>
                </c:pt>
                <c:pt idx="248">
                  <c:v>1296</c:v>
                </c:pt>
                <c:pt idx="249">
                  <c:v>2010</c:v>
                </c:pt>
                <c:pt idx="250">
                  <c:v>2032</c:v>
                </c:pt>
                <c:pt idx="251">
                  <c:v>2227</c:v>
                </c:pt>
                <c:pt idx="252">
                  <c:v>2133</c:v>
                </c:pt>
                <c:pt idx="253">
                  <c:v>2317</c:v>
                </c:pt>
                <c:pt idx="254">
                  <c:v>2058</c:v>
                </c:pt>
                <c:pt idx="255">
                  <c:v>1935</c:v>
                </c:pt>
                <c:pt idx="256">
                  <c:v>2217</c:v>
                </c:pt>
                <c:pt idx="257">
                  <c:v>2374</c:v>
                </c:pt>
                <c:pt idx="258">
                  <c:v>2335</c:v>
                </c:pt>
                <c:pt idx="259">
                  <c:v>2303</c:v>
                </c:pt>
                <c:pt idx="260">
                  <c:v>2210</c:v>
                </c:pt>
                <c:pt idx="261">
                  <c:v>2424</c:v>
                </c:pt>
                <c:pt idx="262">
                  <c:v>2297</c:v>
                </c:pt>
                <c:pt idx="263">
                  <c:v>745</c:v>
                </c:pt>
                <c:pt idx="264">
                  <c:v>1902</c:v>
                </c:pt>
                <c:pt idx="265">
                  <c:v>1680</c:v>
                </c:pt>
                <c:pt idx="266">
                  <c:v>1901</c:v>
                </c:pt>
                <c:pt idx="267">
                  <c:v>2078</c:v>
                </c:pt>
                <c:pt idx="268">
                  <c:v>1876</c:v>
                </c:pt>
                <c:pt idx="269">
                  <c:v>1853</c:v>
                </c:pt>
                <c:pt idx="270">
                  <c:v>2235</c:v>
                </c:pt>
                <c:pt idx="271">
                  <c:v>1778</c:v>
                </c:pt>
                <c:pt idx="272">
                  <c:v>1882</c:v>
                </c:pt>
                <c:pt idx="273">
                  <c:v>1906</c:v>
                </c:pt>
                <c:pt idx="274">
                  <c:v>2149</c:v>
                </c:pt>
                <c:pt idx="275">
                  <c:v>722</c:v>
                </c:pt>
                <c:pt idx="276">
                  <c:v>2886</c:v>
                </c:pt>
                <c:pt idx="277">
                  <c:v>2915</c:v>
                </c:pt>
                <c:pt idx="278">
                  <c:v>2895</c:v>
                </c:pt>
                <c:pt idx="279">
                  <c:v>2923</c:v>
                </c:pt>
                <c:pt idx="280">
                  <c:v>3323</c:v>
                </c:pt>
                <c:pt idx="281">
                  <c:v>3357</c:v>
                </c:pt>
                <c:pt idx="282">
                  <c:v>2931</c:v>
                </c:pt>
                <c:pt idx="283">
                  <c:v>2848</c:v>
                </c:pt>
                <c:pt idx="284">
                  <c:v>2943</c:v>
                </c:pt>
                <c:pt idx="285">
                  <c:v>2822</c:v>
                </c:pt>
                <c:pt idx="286">
                  <c:v>2981</c:v>
                </c:pt>
                <c:pt idx="287">
                  <c:v>3597</c:v>
                </c:pt>
                <c:pt idx="288">
                  <c:v>3224</c:v>
                </c:pt>
                <c:pt idx="289">
                  <c:v>2677</c:v>
                </c:pt>
                <c:pt idx="290">
                  <c:v>0</c:v>
                </c:pt>
                <c:pt idx="291">
                  <c:v>2142</c:v>
                </c:pt>
                <c:pt idx="292">
                  <c:v>1615</c:v>
                </c:pt>
                <c:pt idx="293">
                  <c:v>1481</c:v>
                </c:pt>
                <c:pt idx="294">
                  <c:v>1892</c:v>
                </c:pt>
                <c:pt idx="295">
                  <c:v>2086</c:v>
                </c:pt>
                <c:pt idx="296">
                  <c:v>2044</c:v>
                </c:pt>
                <c:pt idx="297">
                  <c:v>2249</c:v>
                </c:pt>
                <c:pt idx="298">
                  <c:v>2019</c:v>
                </c:pt>
                <c:pt idx="299">
                  <c:v>1692</c:v>
                </c:pt>
                <c:pt idx="300">
                  <c:v>1712</c:v>
                </c:pt>
                <c:pt idx="301">
                  <c:v>2065</c:v>
                </c:pt>
                <c:pt idx="302">
                  <c:v>633</c:v>
                </c:pt>
                <c:pt idx="303">
                  <c:v>3625</c:v>
                </c:pt>
                <c:pt idx="304">
                  <c:v>4430</c:v>
                </c:pt>
                <c:pt idx="305">
                  <c:v>3427</c:v>
                </c:pt>
                <c:pt idx="306">
                  <c:v>3492</c:v>
                </c:pt>
                <c:pt idx="307">
                  <c:v>3597</c:v>
                </c:pt>
                <c:pt idx="308">
                  <c:v>3765</c:v>
                </c:pt>
                <c:pt idx="309">
                  <c:v>2775</c:v>
                </c:pt>
                <c:pt idx="310">
                  <c:v>2486</c:v>
                </c:pt>
                <c:pt idx="311">
                  <c:v>3817</c:v>
                </c:pt>
                <c:pt idx="312">
                  <c:v>3378</c:v>
                </c:pt>
                <c:pt idx="313">
                  <c:v>1511</c:v>
                </c:pt>
                <c:pt idx="314">
                  <c:v>2210</c:v>
                </c:pt>
                <c:pt idx="315">
                  <c:v>2884</c:v>
                </c:pt>
                <c:pt idx="316">
                  <c:v>1496</c:v>
                </c:pt>
                <c:pt idx="317">
                  <c:v>2262</c:v>
                </c:pt>
                <c:pt idx="318">
                  <c:v>2445</c:v>
                </c:pt>
                <c:pt idx="319">
                  <c:v>2694</c:v>
                </c:pt>
                <c:pt idx="320">
                  <c:v>1903</c:v>
                </c:pt>
                <c:pt idx="321">
                  <c:v>2482</c:v>
                </c:pt>
                <c:pt idx="322">
                  <c:v>2617</c:v>
                </c:pt>
                <c:pt idx="323">
                  <c:v>0</c:v>
                </c:pt>
                <c:pt idx="324">
                  <c:v>2778</c:v>
                </c:pt>
                <c:pt idx="325">
                  <c:v>3119</c:v>
                </c:pt>
                <c:pt idx="326">
                  <c:v>2664</c:v>
                </c:pt>
                <c:pt idx="327">
                  <c:v>2060</c:v>
                </c:pt>
                <c:pt idx="328">
                  <c:v>2060</c:v>
                </c:pt>
                <c:pt idx="329">
                  <c:v>2060</c:v>
                </c:pt>
                <c:pt idx="330">
                  <c:v>2060</c:v>
                </c:pt>
                <c:pt idx="331">
                  <c:v>2060</c:v>
                </c:pt>
                <c:pt idx="332">
                  <c:v>2060</c:v>
                </c:pt>
                <c:pt idx="333">
                  <c:v>735</c:v>
                </c:pt>
                <c:pt idx="334">
                  <c:v>1820</c:v>
                </c:pt>
                <c:pt idx="335">
                  <c:v>2224</c:v>
                </c:pt>
                <c:pt idx="336">
                  <c:v>1820</c:v>
                </c:pt>
                <c:pt idx="337">
                  <c:v>1820</c:v>
                </c:pt>
                <c:pt idx="338">
                  <c:v>2442</c:v>
                </c:pt>
                <c:pt idx="339">
                  <c:v>1849</c:v>
                </c:pt>
                <c:pt idx="340">
                  <c:v>1822</c:v>
                </c:pt>
                <c:pt idx="341">
                  <c:v>1820</c:v>
                </c:pt>
                <c:pt idx="342">
                  <c:v>251</c:v>
                </c:pt>
                <c:pt idx="343">
                  <c:v>3065</c:v>
                </c:pt>
                <c:pt idx="344">
                  <c:v>2207</c:v>
                </c:pt>
                <c:pt idx="345">
                  <c:v>1977</c:v>
                </c:pt>
                <c:pt idx="346">
                  <c:v>1841</c:v>
                </c:pt>
                <c:pt idx="347">
                  <c:v>4286</c:v>
                </c:pt>
                <c:pt idx="348">
                  <c:v>3920</c:v>
                </c:pt>
                <c:pt idx="349">
                  <c:v>3856</c:v>
                </c:pt>
                <c:pt idx="350">
                  <c:v>2584</c:v>
                </c:pt>
                <c:pt idx="351">
                  <c:v>787</c:v>
                </c:pt>
                <c:pt idx="352">
                  <c:v>2244</c:v>
                </c:pt>
                <c:pt idx="353">
                  <c:v>2188</c:v>
                </c:pt>
                <c:pt idx="354">
                  <c:v>2014</c:v>
                </c:pt>
                <c:pt idx="355">
                  <c:v>2115</c:v>
                </c:pt>
                <c:pt idx="356">
                  <c:v>2055</c:v>
                </c:pt>
                <c:pt idx="357">
                  <c:v>2437</c:v>
                </c:pt>
                <c:pt idx="358">
                  <c:v>2158</c:v>
                </c:pt>
                <c:pt idx="359">
                  <c:v>2170</c:v>
                </c:pt>
                <c:pt idx="360">
                  <c:v>2244</c:v>
                </c:pt>
                <c:pt idx="361">
                  <c:v>2188</c:v>
                </c:pt>
                <c:pt idx="362">
                  <c:v>2231</c:v>
                </c:pt>
                <c:pt idx="363">
                  <c:v>2100</c:v>
                </c:pt>
                <c:pt idx="364">
                  <c:v>2188</c:v>
                </c:pt>
                <c:pt idx="365">
                  <c:v>917</c:v>
                </c:pt>
                <c:pt idx="366">
                  <c:v>2573</c:v>
                </c:pt>
                <c:pt idx="367">
                  <c:v>2575</c:v>
                </c:pt>
                <c:pt idx="368">
                  <c:v>3086</c:v>
                </c:pt>
                <c:pt idx="369">
                  <c:v>2886</c:v>
                </c:pt>
                <c:pt idx="370">
                  <c:v>2676</c:v>
                </c:pt>
                <c:pt idx="371">
                  <c:v>2811</c:v>
                </c:pt>
                <c:pt idx="372">
                  <c:v>2840</c:v>
                </c:pt>
                <c:pt idx="373">
                  <c:v>2871</c:v>
                </c:pt>
                <c:pt idx="374">
                  <c:v>2613</c:v>
                </c:pt>
                <c:pt idx="375">
                  <c:v>2700</c:v>
                </c:pt>
                <c:pt idx="376">
                  <c:v>2871</c:v>
                </c:pt>
                <c:pt idx="377">
                  <c:v>1023</c:v>
                </c:pt>
                <c:pt idx="378">
                  <c:v>2496</c:v>
                </c:pt>
                <c:pt idx="379">
                  <c:v>1641</c:v>
                </c:pt>
                <c:pt idx="380">
                  <c:v>1794</c:v>
                </c:pt>
                <c:pt idx="381">
                  <c:v>2421</c:v>
                </c:pt>
                <c:pt idx="382">
                  <c:v>2439</c:v>
                </c:pt>
                <c:pt idx="383">
                  <c:v>2233</c:v>
                </c:pt>
                <c:pt idx="384">
                  <c:v>2862</c:v>
                </c:pt>
                <c:pt idx="385">
                  <c:v>2752</c:v>
                </c:pt>
                <c:pt idx="386">
                  <c:v>2519</c:v>
                </c:pt>
                <c:pt idx="387">
                  <c:v>1799</c:v>
                </c:pt>
                <c:pt idx="388">
                  <c:v>2543</c:v>
                </c:pt>
                <c:pt idx="389">
                  <c:v>625</c:v>
                </c:pt>
                <c:pt idx="390">
                  <c:v>3377</c:v>
                </c:pt>
                <c:pt idx="391">
                  <c:v>3697</c:v>
                </c:pt>
                <c:pt idx="392">
                  <c:v>3209</c:v>
                </c:pt>
                <c:pt idx="393">
                  <c:v>3167</c:v>
                </c:pt>
                <c:pt idx="394">
                  <c:v>3122</c:v>
                </c:pt>
                <c:pt idx="395">
                  <c:v>3176</c:v>
                </c:pt>
                <c:pt idx="396">
                  <c:v>2790</c:v>
                </c:pt>
                <c:pt idx="397">
                  <c:v>2715</c:v>
                </c:pt>
                <c:pt idx="398">
                  <c:v>2684</c:v>
                </c:pt>
                <c:pt idx="399">
                  <c:v>3097</c:v>
                </c:pt>
                <c:pt idx="400">
                  <c:v>791</c:v>
                </c:pt>
                <c:pt idx="401">
                  <c:v>1429</c:v>
                </c:pt>
                <c:pt idx="402">
                  <c:v>1429</c:v>
                </c:pt>
                <c:pt idx="403">
                  <c:v>1429</c:v>
                </c:pt>
                <c:pt idx="404">
                  <c:v>1429</c:v>
                </c:pt>
                <c:pt idx="405">
                  <c:v>1429</c:v>
                </c:pt>
                <c:pt idx="406">
                  <c:v>1607</c:v>
                </c:pt>
                <c:pt idx="407">
                  <c:v>1776</c:v>
                </c:pt>
                <c:pt idx="408">
                  <c:v>2162</c:v>
                </c:pt>
                <c:pt idx="409">
                  <c:v>1832</c:v>
                </c:pt>
                <c:pt idx="410">
                  <c:v>1657</c:v>
                </c:pt>
                <c:pt idx="411">
                  <c:v>1377</c:v>
                </c:pt>
                <c:pt idx="412">
                  <c:v>0</c:v>
                </c:pt>
                <c:pt idx="413">
                  <c:v>3669</c:v>
                </c:pt>
                <c:pt idx="414">
                  <c:v>2702</c:v>
                </c:pt>
                <c:pt idx="415">
                  <c:v>3304</c:v>
                </c:pt>
                <c:pt idx="416">
                  <c:v>4234</c:v>
                </c:pt>
                <c:pt idx="417">
                  <c:v>4128</c:v>
                </c:pt>
                <c:pt idx="418">
                  <c:v>3798</c:v>
                </c:pt>
                <c:pt idx="419">
                  <c:v>3839</c:v>
                </c:pt>
                <c:pt idx="420">
                  <c:v>3713</c:v>
                </c:pt>
                <c:pt idx="421">
                  <c:v>2606</c:v>
                </c:pt>
                <c:pt idx="422">
                  <c:v>2624</c:v>
                </c:pt>
                <c:pt idx="423">
                  <c:v>3775</c:v>
                </c:pt>
                <c:pt idx="424">
                  <c:v>1882</c:v>
                </c:pt>
                <c:pt idx="425">
                  <c:v>2360</c:v>
                </c:pt>
                <c:pt idx="426">
                  <c:v>2517</c:v>
                </c:pt>
                <c:pt idx="427">
                  <c:v>2400</c:v>
                </c:pt>
                <c:pt idx="428">
                  <c:v>2462</c:v>
                </c:pt>
                <c:pt idx="429">
                  <c:v>2786</c:v>
                </c:pt>
                <c:pt idx="430">
                  <c:v>2354</c:v>
                </c:pt>
                <c:pt idx="431">
                  <c:v>2437</c:v>
                </c:pt>
                <c:pt idx="432">
                  <c:v>1814</c:v>
                </c:pt>
                <c:pt idx="433">
                  <c:v>2260</c:v>
                </c:pt>
                <c:pt idx="434">
                  <c:v>3004</c:v>
                </c:pt>
                <c:pt idx="435">
                  <c:v>2667</c:v>
                </c:pt>
                <c:pt idx="436">
                  <c:v>2229</c:v>
                </c:pt>
                <c:pt idx="437">
                  <c:v>2100</c:v>
                </c:pt>
                <c:pt idx="438">
                  <c:v>2114</c:v>
                </c:pt>
                <c:pt idx="439">
                  <c:v>1961</c:v>
                </c:pt>
                <c:pt idx="440">
                  <c:v>1953</c:v>
                </c:pt>
                <c:pt idx="441">
                  <c:v>1890</c:v>
                </c:pt>
                <c:pt idx="442">
                  <c:v>2253</c:v>
                </c:pt>
                <c:pt idx="443">
                  <c:v>1725</c:v>
                </c:pt>
                <c:pt idx="444">
                  <c:v>728</c:v>
                </c:pt>
                <c:pt idx="445">
                  <c:v>3527</c:v>
                </c:pt>
                <c:pt idx="446">
                  <c:v>4220</c:v>
                </c:pt>
                <c:pt idx="447">
                  <c:v>3864</c:v>
                </c:pt>
                <c:pt idx="448">
                  <c:v>3662</c:v>
                </c:pt>
                <c:pt idx="449">
                  <c:v>2834</c:v>
                </c:pt>
                <c:pt idx="450">
                  <c:v>4039</c:v>
                </c:pt>
                <c:pt idx="451">
                  <c:v>2947</c:v>
                </c:pt>
                <c:pt idx="452">
                  <c:v>4196</c:v>
                </c:pt>
                <c:pt idx="453">
                  <c:v>3841</c:v>
                </c:pt>
                <c:pt idx="454">
                  <c:v>4526</c:v>
                </c:pt>
                <c:pt idx="455">
                  <c:v>2820</c:v>
                </c:pt>
                <c:pt idx="456">
                  <c:v>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EA-4C43-93CB-E9376E5B1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066304"/>
        <c:axId val="557063824"/>
      </c:scatterChart>
      <c:valAx>
        <c:axId val="55706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7063824"/>
        <c:crosses val="autoZero"/>
        <c:crossBetween val="midCat"/>
      </c:valAx>
      <c:valAx>
        <c:axId val="55706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5706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[Anlaysis bellaBeat.xlsx]Activity_Intensity!PivotTable4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974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974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974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974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Activity_Intensity!$A$3</c:f>
              <c:strCache>
                <c:ptCount val="1"/>
                <c:pt idx="0">
                  <c:v>Average of VeryActiveMinutes</c:v>
                </c:pt>
              </c:strCache>
            </c:strRef>
          </c:tx>
          <c:spPr>
            <a:solidFill>
              <a:srgbClr val="6974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Activity_Intensity!$A$4</c:f>
              <c:numCache>
                <c:formatCode>0</c:formatCode>
                <c:ptCount val="1"/>
                <c:pt idx="0">
                  <c:v>16.660087719298247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C-4EC0-82E0-D41DA902448F}"/>
            </c:ext>
          </c:extLst>
        </c:ser>
        <c:ser>
          <c:idx val="1"/>
          <c:order val="1"/>
          <c:tx>
            <c:strRef>
              <c:f>Activity_Intensity!$B$3</c:f>
              <c:strCache>
                <c:ptCount val="1"/>
                <c:pt idx="0">
                  <c:v>Average of FairlyActiveMinutes</c:v>
                </c:pt>
              </c:strCache>
            </c:strRef>
          </c:tx>
          <c:spPr>
            <a:solidFill>
              <a:srgbClr val="6974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Activity_Intensity!$B$4</c:f>
              <c:numCache>
                <c:formatCode>0</c:formatCode>
                <c:ptCount val="1"/>
                <c:pt idx="0">
                  <c:v>11.651315789473685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C-4EC0-82E0-D41DA902448F}"/>
            </c:ext>
          </c:extLst>
        </c:ser>
        <c:ser>
          <c:idx val="2"/>
          <c:order val="2"/>
          <c:tx>
            <c:strRef>
              <c:f>Activity_Intensity!$C$3</c:f>
              <c:strCache>
                <c:ptCount val="1"/>
                <c:pt idx="0">
                  <c:v>Average of LightlyActiveMinutes</c:v>
                </c:pt>
              </c:strCache>
            </c:strRef>
          </c:tx>
          <c:spPr>
            <a:solidFill>
              <a:srgbClr val="6974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Activity_Intensity!$C$4</c:f>
              <c:numCache>
                <c:formatCode>0</c:formatCode>
                <c:ptCount val="1"/>
                <c:pt idx="0">
                  <c:v>170.44298245614036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C-4EC0-82E0-D41DA902448F}"/>
            </c:ext>
          </c:extLst>
        </c:ser>
        <c:ser>
          <c:idx val="3"/>
          <c:order val="3"/>
          <c:tx>
            <c:strRef>
              <c:f>Activity_Intensity!$D$3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rgbClr val="6974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Activity_Intensity!$D$4</c:f>
              <c:numCache>
                <c:formatCode>0</c:formatCode>
                <c:ptCount val="1"/>
                <c:pt idx="0">
                  <c:v>995.75438596491233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7C-4EC0-82E0-D41DA90244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4402224"/>
        <c:axId val="2104403216"/>
      </c:barChart>
      <c:catAx>
        <c:axId val="210440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403216"/>
        <c:crosses val="autoZero"/>
        <c:auto val="1"/>
        <c:lblAlgn val="ctr"/>
        <c:lblOffset val="100"/>
        <c:noMultiLvlLbl val="0"/>
      </c:catAx>
      <c:valAx>
        <c:axId val="210440321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4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[Anlaysis bellaBeat.xlsx]Weekdays vs Weekends!PivotTable7</c:name>
    <c:fmtId val="4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974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'Weekdays vs Weekends'!$N$4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solidFill>
              <a:srgbClr val="697456"/>
            </a:solidFill>
            <a:ln>
              <a:noFill/>
            </a:ln>
            <a:effectLst/>
          </c:spPr>
          <c:invertIfNegative val="0"/>
          <c:cat>
            <c:strRef>
              <c:f>'Weekdays vs Weekends'!$M$5:$M$7</c:f>
              <c:strCache>
                <c:ptCount val="2"/>
                <c:pt idx="0">
                  <c:v>weekdays</c:v>
                </c:pt>
                <c:pt idx="1">
                  <c:v>weekends</c:v>
                </c:pt>
              </c:strCache>
            </c:strRef>
          </c:cat>
          <c:val>
            <c:numRef>
              <c:f>'Weekdays vs Weekends'!$N$5:$N$7</c:f>
              <c:numCache>
                <c:formatCode>0</c:formatCode>
                <c:ptCount val="2"/>
                <c:pt idx="0">
                  <c:v>6549.7378640776697</c:v>
                </c:pt>
                <c:pt idx="1">
                  <c:v>6584.4217687074834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FF-4F0B-AC92-09807490CC26}"/>
            </c:ext>
          </c:extLst>
        </c:ser>
        <c:ser>
          <c:idx val="1"/>
          <c:order val="1"/>
          <c:tx>
            <c:strRef>
              <c:f>'Weekdays vs Weekends'!$O$4</c:f>
              <c:strCache>
                <c:ptCount val="1"/>
                <c:pt idx="0">
                  <c:v>Average of Calories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'Weekdays vs Weekends'!$M$5:$M$7</c:f>
              <c:strCache>
                <c:ptCount val="2"/>
                <c:pt idx="0">
                  <c:v>weekdays</c:v>
                </c:pt>
                <c:pt idx="1">
                  <c:v>weekends</c:v>
                </c:pt>
              </c:strCache>
            </c:strRef>
          </c:cat>
          <c:val>
            <c:numRef>
              <c:f>'Weekdays vs Weekends'!$O$5:$O$7</c:f>
              <c:numCache>
                <c:formatCode>0</c:formatCode>
                <c:ptCount val="2"/>
                <c:pt idx="0">
                  <c:v>2165.4757281553398</c:v>
                </c:pt>
                <c:pt idx="1">
                  <c:v>2223.7142857142858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FF-4F0B-AC92-09807490CC26}"/>
            </c:ext>
          </c:extLst>
        </c:ser>
        <c:ser>
          <c:idx val="2"/>
          <c:order val="2"/>
          <c:tx>
            <c:strRef>
              <c:f>'Weekdays vs Weekends'!$P$4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'Weekdays vs Weekends'!$M$5:$M$7</c:f>
              <c:strCache>
                <c:ptCount val="2"/>
                <c:pt idx="0">
                  <c:v>weekdays</c:v>
                </c:pt>
                <c:pt idx="1">
                  <c:v>weekends</c:v>
                </c:pt>
              </c:strCache>
            </c:strRef>
          </c:cat>
          <c:val>
            <c:numRef>
              <c:f>'Weekdays vs Weekends'!$P$5:$P$7</c:f>
              <c:numCache>
                <c:formatCode>0</c:formatCode>
                <c:ptCount val="2"/>
                <c:pt idx="0">
                  <c:v>995.76051779935278</c:v>
                </c:pt>
                <c:pt idx="1">
                  <c:v>995.7414965986394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FF-4F0B-AC92-09807490C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288880"/>
        <c:axId val="547292352"/>
      </c:barChart>
      <c:catAx>
        <c:axId val="5472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7292352"/>
        <c:crosses val="autoZero"/>
        <c:auto val="1"/>
        <c:lblAlgn val="ctr"/>
        <c:lblOffset val="100"/>
        <c:noMultiLvlLbl val="0"/>
      </c:catAx>
      <c:valAx>
        <c:axId val="54729235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72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/>
  </c:chart>
  <c:spPr>
    <a:noFill/>
    <a:ln w="1270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[Anlaysis bellaBeat.xlsx]Activity_Intensity!PivotTable4</c:name>
    <c:fmtId val="5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974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43530331831307"/>
          <c:y val="4.3141551585510814E-2"/>
          <c:w val="0.46763253947597272"/>
          <c:h val="0.886775768715293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Activity_Intensity!$A$3</c:f>
              <c:strCache>
                <c:ptCount val="1"/>
                <c:pt idx="0">
                  <c:v>Average of VeryActiveMinutes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Activity_Intensity!$A$4</c:f>
              <c:numCache>
                <c:formatCode>0</c:formatCode>
                <c:ptCount val="1"/>
                <c:pt idx="0">
                  <c:v>16.660087719298247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8-4ACE-AF0D-714A64E11487}"/>
            </c:ext>
          </c:extLst>
        </c:ser>
        <c:ser>
          <c:idx val="1"/>
          <c:order val="1"/>
          <c:tx>
            <c:strRef>
              <c:f>Activity_Intensity!$B$3</c:f>
              <c:strCache>
                <c:ptCount val="1"/>
                <c:pt idx="0">
                  <c:v>Average of FairlyActiveMinutes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Activity_Intensity!$B$4</c:f>
              <c:numCache>
                <c:formatCode>0</c:formatCode>
                <c:ptCount val="1"/>
                <c:pt idx="0">
                  <c:v>11.651315789473685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8-4ACE-AF0D-714A64E11487}"/>
            </c:ext>
          </c:extLst>
        </c:ser>
        <c:ser>
          <c:idx val="2"/>
          <c:order val="2"/>
          <c:tx>
            <c:strRef>
              <c:f>Activity_Intensity!$C$3</c:f>
              <c:strCache>
                <c:ptCount val="1"/>
                <c:pt idx="0">
                  <c:v>Average of LightlyActiveMinutes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Activity_Intensity!$C$4</c:f>
              <c:numCache>
                <c:formatCode>0</c:formatCode>
                <c:ptCount val="1"/>
                <c:pt idx="0">
                  <c:v>170.44298245614036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A8-4ACE-AF0D-714A64E11487}"/>
            </c:ext>
          </c:extLst>
        </c:ser>
        <c:ser>
          <c:idx val="3"/>
          <c:order val="3"/>
          <c:tx>
            <c:strRef>
              <c:f>Activity_Intensity!$D$3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rgbClr val="697456"/>
            </a:solidFill>
            <a:ln>
              <a:noFill/>
            </a:ln>
            <a:effectLst/>
          </c:spPr>
          <c:invertIfNegative val="0"/>
          <c:cat>
            <c:strRef>
              <c:f>Activity_Intensity!$A$4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Activity_Intensity!$D$4</c:f>
              <c:numCache>
                <c:formatCode>0</c:formatCode>
                <c:ptCount val="1"/>
                <c:pt idx="0">
                  <c:v>995.75438596491233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A8-4ACE-AF0D-714A64E11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402224"/>
        <c:axId val="2104403216"/>
      </c:barChart>
      <c:catAx>
        <c:axId val="21044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403216"/>
        <c:crosses val="autoZero"/>
        <c:auto val="1"/>
        <c:lblAlgn val="ctr"/>
        <c:lblOffset val="100"/>
        <c:noMultiLvlLbl val="0"/>
      </c:catAx>
      <c:valAx>
        <c:axId val="21044032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40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5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chart" Target="../charts/chart7.xml"/><Relationship Id="rId12" Type="http://schemas.openxmlformats.org/officeDocument/2006/relationships/image" Target="../media/image5.png"/><Relationship Id="rId2" Type="http://schemas.openxmlformats.org/officeDocument/2006/relationships/hyperlink" Target="#dailyActivity_merged!A1"/><Relationship Id="rId1" Type="http://schemas.openxmlformats.org/officeDocument/2006/relationships/chart" Target="../charts/chart6.xml"/><Relationship Id="rId6" Type="http://schemas.openxmlformats.org/officeDocument/2006/relationships/image" Target="../media/image2.png"/><Relationship Id="rId11" Type="http://schemas.openxmlformats.org/officeDocument/2006/relationships/image" Target="../media/image4.png"/><Relationship Id="rId5" Type="http://schemas.openxmlformats.org/officeDocument/2006/relationships/hyperlink" Target="#PT_DailyActivity!A1"/><Relationship Id="rId10" Type="http://schemas.openxmlformats.org/officeDocument/2006/relationships/image" Target="../media/image3.png"/><Relationship Id="rId4" Type="http://schemas.microsoft.com/office/2007/relationships/hdphoto" Target="../media/hdphoto1.wdp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5</xdr:row>
      <xdr:rowOff>64770</xdr:rowOff>
    </xdr:from>
    <xdr:to>
      <xdr:col>9</xdr:col>
      <xdr:colOff>182880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0020E-4959-C66C-B87E-D5DC216A2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4</xdr:row>
      <xdr:rowOff>129540</xdr:rowOff>
    </xdr:from>
    <xdr:to>
      <xdr:col>11</xdr:col>
      <xdr:colOff>114300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CD271-70AB-AEEA-28B3-8E78AAA7C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83820</xdr:colOff>
      <xdr:row>8</xdr:row>
      <xdr:rowOff>53340</xdr:rowOff>
    </xdr:from>
    <xdr:to>
      <xdr:col>15</xdr:col>
      <xdr:colOff>1638300</xdr:colOff>
      <xdr:row>25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541C04-8C70-402A-1789-997EDF911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1623060</xdr:colOff>
      <xdr:row>6</xdr:row>
      <xdr:rowOff>160020</xdr:rowOff>
    </xdr:from>
    <xdr:to>
      <xdr:col>4</xdr:col>
      <xdr:colOff>525780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33CB77-F87E-96AF-803E-4091130A6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975360</xdr:colOff>
      <xdr:row>7</xdr:row>
      <xdr:rowOff>121920</xdr:rowOff>
    </xdr:from>
    <xdr:to>
      <xdr:col>9</xdr:col>
      <xdr:colOff>38100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1715B-784D-4262-9EE0-A59ED6DB9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13</xdr:col>
      <xdr:colOff>558799</xdr:colOff>
      <xdr:row>34</xdr:row>
      <xdr:rowOff>177800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ADB9FFD6-19B3-B11A-C459-16875BA91CC3}"/>
            </a:ext>
          </a:extLst>
        </xdr:cNvPr>
        <xdr:cNvSpPr/>
      </xdr:nvSpPr>
      <xdr:spPr>
        <a:xfrm rot="5400000">
          <a:off x="986367" y="-986365"/>
          <a:ext cx="6510865" cy="8483599"/>
        </a:xfrm>
        <a:custGeom>
          <a:avLst/>
          <a:gdLst>
            <a:gd name="csX0" fmla="*/ 0 w 2903220"/>
            <a:gd name="csY0" fmla="*/ 2948940 h 2948940"/>
            <a:gd name="csX1" fmla="*/ 0 w 2903220"/>
            <a:gd name="csY1" fmla="*/ 0 h 2948940"/>
            <a:gd name="csX2" fmla="*/ 2903220 w 2903220"/>
            <a:gd name="csY2" fmla="*/ 2948940 h 2948940"/>
            <a:gd name="csX3" fmla="*/ 0 w 2903220"/>
            <a:gd name="csY3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539240 w 2903220"/>
            <a:gd name="csY2" fmla="*/ 15544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539240 w 2903220"/>
            <a:gd name="csY2" fmla="*/ 15544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63040 w 2903220"/>
            <a:gd name="csY2" fmla="*/ 150876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63040 w 2903220"/>
            <a:gd name="csY2" fmla="*/ 150876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03220" h="2948940">
              <a:moveTo>
                <a:pt x="0" y="2948940"/>
              </a:moveTo>
              <a:lnTo>
                <a:pt x="0" y="0"/>
              </a:lnTo>
              <a:cubicBezTo>
                <a:pt x="487680" y="502920"/>
                <a:pt x="967740" y="60960"/>
                <a:pt x="1432560" y="1668780"/>
              </a:cubicBezTo>
              <a:cubicBezTo>
                <a:pt x="2618740" y="1912620"/>
                <a:pt x="2448560" y="2484120"/>
                <a:pt x="2903220" y="2948940"/>
              </a:cubicBezTo>
              <a:lnTo>
                <a:pt x="0" y="2948940"/>
              </a:lnTo>
              <a:close/>
            </a:path>
          </a:pathLst>
        </a:custGeom>
        <a:solidFill>
          <a:srgbClr val="697456"/>
        </a:solidFill>
        <a:ln w="9525">
          <a:solidFill>
            <a:schemeClr val="bg2">
              <a:lumMod val="75000"/>
            </a:schemeClr>
          </a:solidFill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0</xdr:colOff>
      <xdr:row>0</xdr:row>
      <xdr:rowOff>6774</xdr:rowOff>
    </xdr:from>
    <xdr:to>
      <xdr:col>11</xdr:col>
      <xdr:colOff>133216</xdr:colOff>
      <xdr:row>25</xdr:row>
      <xdr:rowOff>49632</xdr:rowOff>
    </xdr:to>
    <xdr:sp macro="" textlink="">
      <xdr:nvSpPr>
        <xdr:cNvPr id="3" name="Right Triangle 1">
          <a:extLst>
            <a:ext uri="{FF2B5EF4-FFF2-40B4-BE49-F238E27FC236}">
              <a16:creationId xmlns:a16="http://schemas.microsoft.com/office/drawing/2014/main" id="{EA40DEB0-CC6A-CAE2-B7CD-D669447C5D41}"/>
            </a:ext>
          </a:extLst>
        </xdr:cNvPr>
        <xdr:cNvSpPr/>
      </xdr:nvSpPr>
      <xdr:spPr>
        <a:xfrm rot="5400000">
          <a:off x="1069645" y="-1062871"/>
          <a:ext cx="4699525" cy="6838816"/>
        </a:xfrm>
        <a:custGeom>
          <a:avLst/>
          <a:gdLst>
            <a:gd name="csX0" fmla="*/ 0 w 2903220"/>
            <a:gd name="csY0" fmla="*/ 2948940 h 2948940"/>
            <a:gd name="csX1" fmla="*/ 0 w 2903220"/>
            <a:gd name="csY1" fmla="*/ 0 h 2948940"/>
            <a:gd name="csX2" fmla="*/ 2903220 w 2903220"/>
            <a:gd name="csY2" fmla="*/ 2948940 h 2948940"/>
            <a:gd name="csX3" fmla="*/ 0 w 2903220"/>
            <a:gd name="csY3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539240 w 2903220"/>
            <a:gd name="csY2" fmla="*/ 15544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539240 w 2903220"/>
            <a:gd name="csY2" fmla="*/ 15544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63040 w 2903220"/>
            <a:gd name="csY2" fmla="*/ 150876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63040 w 2903220"/>
            <a:gd name="csY2" fmla="*/ 150876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03220" h="2948940">
              <a:moveTo>
                <a:pt x="0" y="2948940"/>
              </a:moveTo>
              <a:lnTo>
                <a:pt x="0" y="0"/>
              </a:lnTo>
              <a:cubicBezTo>
                <a:pt x="487680" y="502920"/>
                <a:pt x="967740" y="60960"/>
                <a:pt x="1432560" y="1668780"/>
              </a:cubicBezTo>
              <a:cubicBezTo>
                <a:pt x="2618740" y="1912620"/>
                <a:pt x="2448560" y="2484120"/>
                <a:pt x="2903220" y="2948940"/>
              </a:cubicBezTo>
              <a:lnTo>
                <a:pt x="0" y="2948940"/>
              </a:lnTo>
              <a:close/>
            </a:path>
          </a:pathLst>
        </a:custGeom>
        <a:solidFill>
          <a:srgbClr val="697456"/>
        </a:solidFill>
        <a:ln w="9525">
          <a:solidFill>
            <a:schemeClr val="bg2">
              <a:lumMod val="75000"/>
            </a:schemeClr>
          </a:solidFill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0</xdr:colOff>
      <xdr:row>0</xdr:row>
      <xdr:rowOff>6773</xdr:rowOff>
    </xdr:from>
    <xdr:to>
      <xdr:col>7</xdr:col>
      <xdr:colOff>189283</xdr:colOff>
      <xdr:row>16</xdr:row>
      <xdr:rowOff>160496</xdr:rowOff>
    </xdr:to>
    <xdr:sp macro="" textlink="">
      <xdr:nvSpPr>
        <xdr:cNvPr id="4" name="Right Triangle 1">
          <a:extLst>
            <a:ext uri="{FF2B5EF4-FFF2-40B4-BE49-F238E27FC236}">
              <a16:creationId xmlns:a16="http://schemas.microsoft.com/office/drawing/2014/main" id="{04744580-E4E2-85C9-DA4D-D887740E8B03}"/>
            </a:ext>
          </a:extLst>
        </xdr:cNvPr>
        <xdr:cNvSpPr/>
      </xdr:nvSpPr>
      <xdr:spPr>
        <a:xfrm rot="5400000">
          <a:off x="661247" y="-654474"/>
          <a:ext cx="3133990" cy="4456483"/>
        </a:xfrm>
        <a:custGeom>
          <a:avLst/>
          <a:gdLst>
            <a:gd name="csX0" fmla="*/ 0 w 2903220"/>
            <a:gd name="csY0" fmla="*/ 2948940 h 2948940"/>
            <a:gd name="csX1" fmla="*/ 0 w 2903220"/>
            <a:gd name="csY1" fmla="*/ 0 h 2948940"/>
            <a:gd name="csX2" fmla="*/ 2903220 w 2903220"/>
            <a:gd name="csY2" fmla="*/ 2948940 h 2948940"/>
            <a:gd name="csX3" fmla="*/ 0 w 2903220"/>
            <a:gd name="csY3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539240 w 2903220"/>
            <a:gd name="csY2" fmla="*/ 15544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539240 w 2903220"/>
            <a:gd name="csY2" fmla="*/ 15544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63040 w 2903220"/>
            <a:gd name="csY2" fmla="*/ 150876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63040 w 2903220"/>
            <a:gd name="csY2" fmla="*/ 150876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  <a:gd name="csX0" fmla="*/ 0 w 2903220"/>
            <a:gd name="csY0" fmla="*/ 2948940 h 2948940"/>
            <a:gd name="csX1" fmla="*/ 0 w 2903220"/>
            <a:gd name="csY1" fmla="*/ 0 h 2948940"/>
            <a:gd name="csX2" fmla="*/ 1432560 w 2903220"/>
            <a:gd name="csY2" fmla="*/ 1668780 h 2948940"/>
            <a:gd name="csX3" fmla="*/ 2903220 w 2903220"/>
            <a:gd name="csY3" fmla="*/ 2948940 h 2948940"/>
            <a:gd name="csX4" fmla="*/ 0 w 2903220"/>
            <a:gd name="csY4" fmla="*/ 2948940 h 29489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03220" h="2948940">
              <a:moveTo>
                <a:pt x="0" y="2948940"/>
              </a:moveTo>
              <a:lnTo>
                <a:pt x="0" y="0"/>
              </a:lnTo>
              <a:cubicBezTo>
                <a:pt x="487680" y="502920"/>
                <a:pt x="967740" y="60960"/>
                <a:pt x="1432560" y="1668780"/>
              </a:cubicBezTo>
              <a:cubicBezTo>
                <a:pt x="2618740" y="1912620"/>
                <a:pt x="2448560" y="2484120"/>
                <a:pt x="2903220" y="2948940"/>
              </a:cubicBezTo>
              <a:lnTo>
                <a:pt x="0" y="2948940"/>
              </a:lnTo>
              <a:close/>
            </a:path>
          </a:pathLst>
        </a:custGeom>
        <a:solidFill>
          <a:srgbClr val="697456"/>
        </a:solidFill>
        <a:ln w="9525">
          <a:solidFill>
            <a:schemeClr val="bg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</xdr:col>
      <xdr:colOff>421640</xdr:colOff>
      <xdr:row>1</xdr:row>
      <xdr:rowOff>33867</xdr:rowOff>
    </xdr:from>
    <xdr:to>
      <xdr:col>16</xdr:col>
      <xdr:colOff>338668</xdr:colOff>
      <xdr:row>29</xdr:row>
      <xdr:rowOff>93135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F7B75A1-4B93-C5F5-C07F-C550E8E532A3}"/>
            </a:ext>
          </a:extLst>
        </xdr:cNvPr>
        <xdr:cNvSpPr/>
      </xdr:nvSpPr>
      <xdr:spPr>
        <a:xfrm>
          <a:off x="1640840" y="220134"/>
          <a:ext cx="8451428" cy="5274734"/>
        </a:xfrm>
        <a:prstGeom prst="roundRect">
          <a:avLst>
            <a:gd name="adj" fmla="val 8057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8464</xdr:colOff>
      <xdr:row>8</xdr:row>
      <xdr:rowOff>8470</xdr:rowOff>
    </xdr:from>
    <xdr:to>
      <xdr:col>10</xdr:col>
      <xdr:colOff>575732</xdr:colOff>
      <xdr:row>17</xdr:row>
      <xdr:rowOff>50803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663E32-1315-43EA-8049-036E5B3BB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414865</xdr:colOff>
      <xdr:row>9</xdr:row>
      <xdr:rowOff>67733</xdr:rowOff>
    </xdr:from>
    <xdr:to>
      <xdr:col>3</xdr:col>
      <xdr:colOff>423333</xdr:colOff>
      <xdr:row>22</xdr:row>
      <xdr:rowOff>84666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66A792E-F117-2434-4717-4FFBC4936CD8}"/>
            </a:ext>
          </a:extLst>
        </xdr:cNvPr>
        <xdr:cNvSpPr/>
      </xdr:nvSpPr>
      <xdr:spPr>
        <a:xfrm>
          <a:off x="1634065" y="1744133"/>
          <a:ext cx="618068" cy="2438400"/>
        </a:xfrm>
        <a:custGeom>
          <a:avLst/>
          <a:gdLst>
            <a:gd name="csX0" fmla="*/ 0 w 524934"/>
            <a:gd name="csY0" fmla="*/ 194047 h 2768600"/>
            <a:gd name="csX1" fmla="*/ 194047 w 524934"/>
            <a:gd name="csY1" fmla="*/ 0 h 2768600"/>
            <a:gd name="csX2" fmla="*/ 330887 w 524934"/>
            <a:gd name="csY2" fmla="*/ 0 h 2768600"/>
            <a:gd name="csX3" fmla="*/ 524934 w 524934"/>
            <a:gd name="csY3" fmla="*/ 194047 h 2768600"/>
            <a:gd name="csX4" fmla="*/ 524934 w 524934"/>
            <a:gd name="csY4" fmla="*/ 2574553 h 2768600"/>
            <a:gd name="csX5" fmla="*/ 330887 w 524934"/>
            <a:gd name="csY5" fmla="*/ 2768600 h 2768600"/>
            <a:gd name="csX6" fmla="*/ 194047 w 524934"/>
            <a:gd name="csY6" fmla="*/ 2768600 h 2768600"/>
            <a:gd name="csX7" fmla="*/ 0 w 524934"/>
            <a:gd name="csY7" fmla="*/ 2574553 h 2768600"/>
            <a:gd name="csX8" fmla="*/ 0 w 524934"/>
            <a:gd name="csY8" fmla="*/ 194047 h 2768600"/>
            <a:gd name="csX0" fmla="*/ 0 w 524934"/>
            <a:gd name="csY0" fmla="*/ 194047 h 2768600"/>
            <a:gd name="csX1" fmla="*/ 194047 w 524934"/>
            <a:gd name="csY1" fmla="*/ 0 h 2768600"/>
            <a:gd name="csX2" fmla="*/ 330887 w 524934"/>
            <a:gd name="csY2" fmla="*/ 0 h 2768600"/>
            <a:gd name="csX3" fmla="*/ 524934 w 524934"/>
            <a:gd name="csY3" fmla="*/ 194047 h 2768600"/>
            <a:gd name="csX4" fmla="*/ 524934 w 524934"/>
            <a:gd name="csY4" fmla="*/ 1380067 h 2768600"/>
            <a:gd name="csX5" fmla="*/ 524934 w 524934"/>
            <a:gd name="csY5" fmla="*/ 2574553 h 2768600"/>
            <a:gd name="csX6" fmla="*/ 330887 w 524934"/>
            <a:gd name="csY6" fmla="*/ 2768600 h 2768600"/>
            <a:gd name="csX7" fmla="*/ 194047 w 524934"/>
            <a:gd name="csY7" fmla="*/ 2768600 h 2768600"/>
            <a:gd name="csX8" fmla="*/ 0 w 524934"/>
            <a:gd name="csY8" fmla="*/ 2574553 h 2768600"/>
            <a:gd name="csX9" fmla="*/ 0 w 524934"/>
            <a:gd name="csY9" fmla="*/ 194047 h 2768600"/>
            <a:gd name="csX0" fmla="*/ 0 w 660400"/>
            <a:gd name="csY0" fmla="*/ 194047 h 2768600"/>
            <a:gd name="csX1" fmla="*/ 194047 w 660400"/>
            <a:gd name="csY1" fmla="*/ 0 h 2768600"/>
            <a:gd name="csX2" fmla="*/ 330887 w 660400"/>
            <a:gd name="csY2" fmla="*/ 0 h 2768600"/>
            <a:gd name="csX3" fmla="*/ 524934 w 660400"/>
            <a:gd name="csY3" fmla="*/ 194047 h 2768600"/>
            <a:gd name="csX4" fmla="*/ 524934 w 660400"/>
            <a:gd name="csY4" fmla="*/ 1380067 h 2768600"/>
            <a:gd name="csX5" fmla="*/ 524934 w 660400"/>
            <a:gd name="csY5" fmla="*/ 2574553 h 2768600"/>
            <a:gd name="csX6" fmla="*/ 330887 w 660400"/>
            <a:gd name="csY6" fmla="*/ 2768600 h 2768600"/>
            <a:gd name="csX7" fmla="*/ 194047 w 660400"/>
            <a:gd name="csY7" fmla="*/ 2768600 h 2768600"/>
            <a:gd name="csX8" fmla="*/ 0 w 660400"/>
            <a:gd name="csY8" fmla="*/ 2574553 h 2768600"/>
            <a:gd name="csX9" fmla="*/ 0 w 660400"/>
            <a:gd name="csY9" fmla="*/ 194047 h 2768600"/>
            <a:gd name="csX0" fmla="*/ 0 w 660400"/>
            <a:gd name="csY0" fmla="*/ 194047 h 2768600"/>
            <a:gd name="csX1" fmla="*/ 194047 w 660400"/>
            <a:gd name="csY1" fmla="*/ 0 h 2768600"/>
            <a:gd name="csX2" fmla="*/ 330887 w 660400"/>
            <a:gd name="csY2" fmla="*/ 0 h 2768600"/>
            <a:gd name="csX3" fmla="*/ 524934 w 660400"/>
            <a:gd name="csY3" fmla="*/ 194047 h 2768600"/>
            <a:gd name="csX4" fmla="*/ 524934 w 660400"/>
            <a:gd name="csY4" fmla="*/ 1380067 h 2768600"/>
            <a:gd name="csX5" fmla="*/ 524934 w 660400"/>
            <a:gd name="csY5" fmla="*/ 2574553 h 2768600"/>
            <a:gd name="csX6" fmla="*/ 330887 w 660400"/>
            <a:gd name="csY6" fmla="*/ 2768600 h 2768600"/>
            <a:gd name="csX7" fmla="*/ 194047 w 660400"/>
            <a:gd name="csY7" fmla="*/ 2768600 h 2768600"/>
            <a:gd name="csX8" fmla="*/ 0 w 660400"/>
            <a:gd name="csY8" fmla="*/ 2574553 h 2768600"/>
            <a:gd name="csX9" fmla="*/ 0 w 660400"/>
            <a:gd name="csY9" fmla="*/ 194047 h 2768600"/>
            <a:gd name="csX0" fmla="*/ 0 w 562563"/>
            <a:gd name="csY0" fmla="*/ 194047 h 2768600"/>
            <a:gd name="csX1" fmla="*/ 194047 w 562563"/>
            <a:gd name="csY1" fmla="*/ 0 h 2768600"/>
            <a:gd name="csX2" fmla="*/ 330887 w 562563"/>
            <a:gd name="csY2" fmla="*/ 0 h 2768600"/>
            <a:gd name="csX3" fmla="*/ 524934 w 562563"/>
            <a:gd name="csY3" fmla="*/ 194047 h 2768600"/>
            <a:gd name="csX4" fmla="*/ 524934 w 562563"/>
            <a:gd name="csY4" fmla="*/ 1380067 h 2768600"/>
            <a:gd name="csX5" fmla="*/ 524934 w 562563"/>
            <a:gd name="csY5" fmla="*/ 2574553 h 2768600"/>
            <a:gd name="csX6" fmla="*/ 330887 w 562563"/>
            <a:gd name="csY6" fmla="*/ 2768600 h 2768600"/>
            <a:gd name="csX7" fmla="*/ 194047 w 562563"/>
            <a:gd name="csY7" fmla="*/ 2768600 h 2768600"/>
            <a:gd name="csX8" fmla="*/ 0 w 562563"/>
            <a:gd name="csY8" fmla="*/ 2574553 h 2768600"/>
            <a:gd name="csX9" fmla="*/ 0 w 562563"/>
            <a:gd name="csY9" fmla="*/ 194047 h 2768600"/>
            <a:gd name="csX0" fmla="*/ 0 w 524934"/>
            <a:gd name="csY0" fmla="*/ 194047 h 2768600"/>
            <a:gd name="csX1" fmla="*/ 194047 w 524934"/>
            <a:gd name="csY1" fmla="*/ 0 h 2768600"/>
            <a:gd name="csX2" fmla="*/ 330887 w 524934"/>
            <a:gd name="csY2" fmla="*/ 0 h 2768600"/>
            <a:gd name="csX3" fmla="*/ 524934 w 524934"/>
            <a:gd name="csY3" fmla="*/ 194047 h 2768600"/>
            <a:gd name="csX4" fmla="*/ 524934 w 524934"/>
            <a:gd name="csY4" fmla="*/ 1380067 h 2768600"/>
            <a:gd name="csX5" fmla="*/ 524934 w 524934"/>
            <a:gd name="csY5" fmla="*/ 2574553 h 2768600"/>
            <a:gd name="csX6" fmla="*/ 330887 w 524934"/>
            <a:gd name="csY6" fmla="*/ 2768600 h 2768600"/>
            <a:gd name="csX7" fmla="*/ 194047 w 524934"/>
            <a:gd name="csY7" fmla="*/ 2768600 h 2768600"/>
            <a:gd name="csX8" fmla="*/ 0 w 524934"/>
            <a:gd name="csY8" fmla="*/ 2574553 h 2768600"/>
            <a:gd name="csX9" fmla="*/ 0 w 524934"/>
            <a:gd name="csY9" fmla="*/ 194047 h 2768600"/>
            <a:gd name="csX0" fmla="*/ 0 w 524934"/>
            <a:gd name="csY0" fmla="*/ 194047 h 2768600"/>
            <a:gd name="csX1" fmla="*/ 194047 w 524934"/>
            <a:gd name="csY1" fmla="*/ 0 h 2768600"/>
            <a:gd name="csX2" fmla="*/ 330887 w 524934"/>
            <a:gd name="csY2" fmla="*/ 0 h 2768600"/>
            <a:gd name="csX3" fmla="*/ 524934 w 524934"/>
            <a:gd name="csY3" fmla="*/ 194047 h 2768600"/>
            <a:gd name="csX4" fmla="*/ 524934 w 524934"/>
            <a:gd name="csY4" fmla="*/ 1380067 h 2768600"/>
            <a:gd name="csX5" fmla="*/ 524934 w 524934"/>
            <a:gd name="csY5" fmla="*/ 2574553 h 2768600"/>
            <a:gd name="csX6" fmla="*/ 330887 w 524934"/>
            <a:gd name="csY6" fmla="*/ 2768600 h 2768600"/>
            <a:gd name="csX7" fmla="*/ 194047 w 524934"/>
            <a:gd name="csY7" fmla="*/ 2768600 h 2768600"/>
            <a:gd name="csX8" fmla="*/ 0 w 524934"/>
            <a:gd name="csY8" fmla="*/ 2574553 h 2768600"/>
            <a:gd name="csX9" fmla="*/ 0 w 524934"/>
            <a:gd name="csY9" fmla="*/ 194047 h 2768600"/>
            <a:gd name="csX0" fmla="*/ 0 w 524934"/>
            <a:gd name="csY0" fmla="*/ 194047 h 2768600"/>
            <a:gd name="csX1" fmla="*/ 194047 w 524934"/>
            <a:gd name="csY1" fmla="*/ 0 h 2768600"/>
            <a:gd name="csX2" fmla="*/ 330887 w 524934"/>
            <a:gd name="csY2" fmla="*/ 0 h 2768600"/>
            <a:gd name="csX3" fmla="*/ 524934 w 524934"/>
            <a:gd name="csY3" fmla="*/ 194047 h 2768600"/>
            <a:gd name="csX4" fmla="*/ 524934 w 524934"/>
            <a:gd name="csY4" fmla="*/ 1380067 h 2768600"/>
            <a:gd name="csX5" fmla="*/ 524934 w 524934"/>
            <a:gd name="csY5" fmla="*/ 2574553 h 2768600"/>
            <a:gd name="csX6" fmla="*/ 330887 w 524934"/>
            <a:gd name="csY6" fmla="*/ 2768600 h 2768600"/>
            <a:gd name="csX7" fmla="*/ 194047 w 524934"/>
            <a:gd name="csY7" fmla="*/ 2768600 h 2768600"/>
            <a:gd name="csX8" fmla="*/ 0 w 524934"/>
            <a:gd name="csY8" fmla="*/ 2574553 h 2768600"/>
            <a:gd name="csX9" fmla="*/ 0 w 524934"/>
            <a:gd name="csY9" fmla="*/ 194047 h 27686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524934" h="2768600">
              <a:moveTo>
                <a:pt x="0" y="194047"/>
              </a:moveTo>
              <a:cubicBezTo>
                <a:pt x="0" y="86878"/>
                <a:pt x="86878" y="0"/>
                <a:pt x="194047" y="0"/>
              </a:cubicBezTo>
              <a:lnTo>
                <a:pt x="330887" y="0"/>
              </a:lnTo>
              <a:cubicBezTo>
                <a:pt x="438056" y="0"/>
                <a:pt x="524934" y="86878"/>
                <a:pt x="524934" y="194047"/>
              </a:cubicBezTo>
              <a:cubicBezTo>
                <a:pt x="524934" y="589387"/>
                <a:pt x="372534" y="637594"/>
                <a:pt x="524934" y="1380067"/>
              </a:cubicBezTo>
              <a:cubicBezTo>
                <a:pt x="270935" y="2074562"/>
                <a:pt x="524934" y="2176391"/>
                <a:pt x="524934" y="2574553"/>
              </a:cubicBezTo>
              <a:cubicBezTo>
                <a:pt x="524934" y="2681722"/>
                <a:pt x="438056" y="2768600"/>
                <a:pt x="330887" y="2768600"/>
              </a:cubicBezTo>
              <a:lnTo>
                <a:pt x="194047" y="2768600"/>
              </a:lnTo>
              <a:cubicBezTo>
                <a:pt x="86878" y="2768600"/>
                <a:pt x="0" y="2681722"/>
                <a:pt x="0" y="2574553"/>
              </a:cubicBezTo>
              <a:lnTo>
                <a:pt x="0" y="194047"/>
              </a:lnTo>
              <a:close/>
            </a:path>
          </a:pathLst>
        </a:custGeom>
        <a:solidFill>
          <a:srgbClr val="697456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</xdr:col>
      <xdr:colOff>397933</xdr:colOff>
      <xdr:row>1</xdr:row>
      <xdr:rowOff>0</xdr:rowOff>
    </xdr:from>
    <xdr:to>
      <xdr:col>16</xdr:col>
      <xdr:colOff>338666</xdr:colOff>
      <xdr:row>6</xdr:row>
      <xdr:rowOff>67733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8A8BF52-82CC-55EF-39DF-D32B905EA2C9}"/>
            </a:ext>
          </a:extLst>
        </xdr:cNvPr>
        <xdr:cNvSpPr/>
      </xdr:nvSpPr>
      <xdr:spPr>
        <a:xfrm>
          <a:off x="1617133" y="186267"/>
          <a:ext cx="8475133" cy="999066"/>
        </a:xfrm>
        <a:prstGeom prst="roundRect">
          <a:avLst>
            <a:gd name="adj" fmla="val 50000"/>
          </a:avLst>
        </a:prstGeom>
        <a:solidFill>
          <a:schemeClr val="accent6">
            <a:lumMod val="20000"/>
            <a:lumOff val="80000"/>
            <a:alpha val="28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2</xdr:col>
      <xdr:colOff>542502</xdr:colOff>
      <xdr:row>17</xdr:row>
      <xdr:rowOff>173681</xdr:rowOff>
    </xdr:from>
    <xdr:to>
      <xdr:col>3</xdr:col>
      <xdr:colOff>184902</xdr:colOff>
      <xdr:row>19</xdr:row>
      <xdr:rowOff>53147</xdr:rowOff>
    </xdr:to>
    <xdr:pic>
      <xdr:nvPicPr>
        <xdr:cNvPr id="12" name="Pictur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7C9C63-E716-858A-08D6-C1E7A3327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702" y="3340214"/>
          <a:ext cx="252000" cy="252000"/>
        </a:xfrm>
        <a:prstGeom prst="rect">
          <a:avLst/>
        </a:prstGeom>
      </xdr:spPr>
    </xdr:pic>
    <xdr:clientData/>
  </xdr:twoCellAnchor>
  <xdr:twoCellAnchor editAs="oneCell">
    <xdr:from>
      <xdr:col>2</xdr:col>
      <xdr:colOff>567268</xdr:colOff>
      <xdr:row>11</xdr:row>
      <xdr:rowOff>96282</xdr:rowOff>
    </xdr:from>
    <xdr:to>
      <xdr:col>3</xdr:col>
      <xdr:colOff>209668</xdr:colOff>
      <xdr:row>12</xdr:row>
      <xdr:rowOff>162015</xdr:rowOff>
    </xdr:to>
    <xdr:pic>
      <xdr:nvPicPr>
        <xdr:cNvPr id="16" name="Picture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106A67-B7E7-E863-7E1C-AF863001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468" y="2145215"/>
          <a:ext cx="252000" cy="252000"/>
        </a:xfrm>
        <a:prstGeom prst="rect">
          <a:avLst/>
        </a:prstGeom>
      </xdr:spPr>
    </xdr:pic>
    <xdr:clientData/>
  </xdr:twoCellAnchor>
  <xdr:twoCellAnchor>
    <xdr:from>
      <xdr:col>22</xdr:col>
      <xdr:colOff>338667</xdr:colOff>
      <xdr:row>10</xdr:row>
      <xdr:rowOff>50800</xdr:rowOff>
    </xdr:from>
    <xdr:to>
      <xdr:col>27</xdr:col>
      <xdr:colOff>203200</xdr:colOff>
      <xdr:row>27</xdr:row>
      <xdr:rowOff>110065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F6B29B-50AE-41D4-A55D-26105095B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237068</xdr:colOff>
      <xdr:row>6</xdr:row>
      <xdr:rowOff>118533</xdr:rowOff>
    </xdr:from>
    <xdr:to>
      <xdr:col>15</xdr:col>
      <xdr:colOff>321734</xdr:colOff>
      <xdr:row>8</xdr:row>
      <xdr:rowOff>16934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F1F4F21-D60A-A94D-0F91-A27288D68B02}"/>
            </a:ext>
          </a:extLst>
        </xdr:cNvPr>
        <xdr:cNvSpPr txBox="1"/>
      </xdr:nvSpPr>
      <xdr:spPr>
        <a:xfrm>
          <a:off x="7552268" y="1236133"/>
          <a:ext cx="1913466" cy="270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0">
              <a:solidFill>
                <a:srgbClr val="697456"/>
              </a:solidFill>
            </a:rPr>
            <a:t>Behavioral</a:t>
          </a:r>
          <a:r>
            <a:rPr lang="en-US" sz="1050" b="0" baseline="0">
              <a:solidFill>
                <a:srgbClr val="697456"/>
              </a:solidFill>
            </a:rPr>
            <a:t> Distribution </a:t>
          </a:r>
          <a:endParaRPr lang="en-NG" sz="1050" b="0">
            <a:solidFill>
              <a:srgbClr val="697456"/>
            </a:solidFill>
          </a:endParaRPr>
        </a:p>
      </xdr:txBody>
    </xdr:sp>
    <xdr:clientData/>
  </xdr:twoCellAnchor>
  <xdr:twoCellAnchor>
    <xdr:from>
      <xdr:col>3</xdr:col>
      <xdr:colOff>584198</xdr:colOff>
      <xdr:row>18</xdr:row>
      <xdr:rowOff>135468</xdr:rowOff>
    </xdr:from>
    <xdr:to>
      <xdr:col>10</xdr:col>
      <xdr:colOff>567265</xdr:colOff>
      <xdr:row>29</xdr:row>
      <xdr:rowOff>59268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598791B-D87C-41CD-BA5C-43CFF0655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59268</xdr:colOff>
      <xdr:row>7</xdr:row>
      <xdr:rowOff>152400</xdr:rowOff>
    </xdr:from>
    <xdr:to>
      <xdr:col>16</xdr:col>
      <xdr:colOff>254000</xdr:colOff>
      <xdr:row>28</xdr:row>
      <xdr:rowOff>67737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3669D8-1AB2-4CE5-81F9-87FFE89C4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13</xdr:col>
      <xdr:colOff>177801</xdr:colOff>
      <xdr:row>2</xdr:row>
      <xdr:rowOff>42332</xdr:rowOff>
    </xdr:from>
    <xdr:to>
      <xdr:col>13</xdr:col>
      <xdr:colOff>465801</xdr:colOff>
      <xdr:row>3</xdr:row>
      <xdr:rowOff>144065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045B79-135E-08C6-48CD-F9156E483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2601" y="414865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564867</xdr:colOff>
      <xdr:row>2</xdr:row>
      <xdr:rowOff>42332</xdr:rowOff>
    </xdr:from>
    <xdr:to>
      <xdr:col>8</xdr:col>
      <xdr:colOff>243267</xdr:colOff>
      <xdr:row>3</xdr:row>
      <xdr:rowOff>144065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8318903-F9F5-4E89-67C8-BA1859328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2067" y="414865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215334</xdr:colOff>
      <xdr:row>2</xdr:row>
      <xdr:rowOff>42332</xdr:rowOff>
    </xdr:from>
    <xdr:to>
      <xdr:col>10</xdr:col>
      <xdr:colOff>503334</xdr:colOff>
      <xdr:row>3</xdr:row>
      <xdr:rowOff>144065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ACCC8A2-AE52-6DDA-85F6-23A5F17E3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1334" y="414865"/>
          <a:ext cx="288000" cy="28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162134</xdr:colOff>
      <xdr:row>2</xdr:row>
      <xdr:rowOff>42332</xdr:rowOff>
    </xdr:from>
    <xdr:to>
      <xdr:col>5</xdr:col>
      <xdr:colOff>450134</xdr:colOff>
      <xdr:row>3</xdr:row>
      <xdr:rowOff>144065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A51370-A08D-D046-3844-5E536FC0B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0134" y="414865"/>
          <a:ext cx="288000" cy="288000"/>
        </a:xfrm>
        <a:prstGeom prst="rect">
          <a:avLst/>
        </a:prstGeom>
      </xdr:spPr>
    </xdr:pic>
    <xdr:clientData/>
  </xdr:twoCellAnchor>
  <xdr:twoCellAnchor>
    <xdr:from>
      <xdr:col>5</xdr:col>
      <xdr:colOff>76199</xdr:colOff>
      <xdr:row>3</xdr:row>
      <xdr:rowOff>110068</xdr:rowOff>
    </xdr:from>
    <xdr:to>
      <xdr:col>6</xdr:col>
      <xdr:colOff>330200</xdr:colOff>
      <xdr:row>5</xdr:row>
      <xdr:rowOff>127002</xdr:rowOff>
    </xdr:to>
    <xdr:sp macro="" textlink="DailySteps">
      <xdr:nvSpPr>
        <xdr:cNvPr id="31" name="TextBox 30">
          <a:extLst>
            <a:ext uri="{FF2B5EF4-FFF2-40B4-BE49-F238E27FC236}">
              <a16:creationId xmlns:a16="http://schemas.microsoft.com/office/drawing/2014/main" id="{F2BC751D-8F81-4716-AB06-BCCE616230C6}"/>
            </a:ext>
          </a:extLst>
        </xdr:cNvPr>
        <xdr:cNvSpPr txBox="1"/>
      </xdr:nvSpPr>
      <xdr:spPr>
        <a:xfrm>
          <a:off x="3124199" y="668868"/>
          <a:ext cx="863601" cy="389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3FE49F9-6C90-4F60-A393-2E43D020FE83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t>6561</a:t>
          </a:fld>
          <a:endParaRPr lang="en-NG" sz="24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440265</xdr:colOff>
      <xdr:row>3</xdr:row>
      <xdr:rowOff>110068</xdr:rowOff>
    </xdr:from>
    <xdr:to>
      <xdr:col>8</xdr:col>
      <xdr:colOff>381000</xdr:colOff>
      <xdr:row>5</xdr:row>
      <xdr:rowOff>127002</xdr:rowOff>
    </xdr:to>
    <xdr:sp macro="" textlink="AvgSedentaryMinutes">
      <xdr:nvSpPr>
        <xdr:cNvPr id="32" name="TextBox 31">
          <a:extLst>
            <a:ext uri="{FF2B5EF4-FFF2-40B4-BE49-F238E27FC236}">
              <a16:creationId xmlns:a16="http://schemas.microsoft.com/office/drawing/2014/main" id="{247A8A22-B9CA-4DB0-8A79-D4FB61905358}"/>
            </a:ext>
          </a:extLst>
        </xdr:cNvPr>
        <xdr:cNvSpPr txBox="1"/>
      </xdr:nvSpPr>
      <xdr:spPr>
        <a:xfrm>
          <a:off x="4707465" y="668868"/>
          <a:ext cx="550335" cy="389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17B8192-62EB-456D-95DE-0B87D0C7DC91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t>996</a:t>
          </a:fld>
          <a:endParaRPr lang="en-NG" sz="36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59264</xdr:colOff>
      <xdr:row>3</xdr:row>
      <xdr:rowOff>110068</xdr:rowOff>
    </xdr:from>
    <xdr:to>
      <xdr:col>11</xdr:col>
      <xdr:colOff>186267</xdr:colOff>
      <xdr:row>5</xdr:row>
      <xdr:rowOff>127002</xdr:rowOff>
    </xdr:to>
    <xdr:sp macro="" textlink="AvgCaloriesBurned">
      <xdr:nvSpPr>
        <xdr:cNvPr id="33" name="TextBox 32">
          <a:extLst>
            <a:ext uri="{FF2B5EF4-FFF2-40B4-BE49-F238E27FC236}">
              <a16:creationId xmlns:a16="http://schemas.microsoft.com/office/drawing/2014/main" id="{C15937AE-575C-1926-9DEB-9738F86F32EE}"/>
            </a:ext>
          </a:extLst>
        </xdr:cNvPr>
        <xdr:cNvSpPr txBox="1"/>
      </xdr:nvSpPr>
      <xdr:spPr>
        <a:xfrm>
          <a:off x="6155264" y="668868"/>
          <a:ext cx="736603" cy="389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0A82551-7ED2-4280-9C15-C1953618AC78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t>2184</a:t>
          </a:fld>
          <a:endParaRPr lang="en-NG" sz="4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50796</xdr:colOff>
      <xdr:row>3</xdr:row>
      <xdr:rowOff>110068</xdr:rowOff>
    </xdr:from>
    <xdr:to>
      <xdr:col>13</xdr:col>
      <xdr:colOff>601131</xdr:colOff>
      <xdr:row>5</xdr:row>
      <xdr:rowOff>127002</xdr:rowOff>
    </xdr:to>
    <xdr:sp macro="" textlink="AvgActiveMinutes">
      <xdr:nvSpPr>
        <xdr:cNvPr id="34" name="TextBox 33">
          <a:extLst>
            <a:ext uri="{FF2B5EF4-FFF2-40B4-BE49-F238E27FC236}">
              <a16:creationId xmlns:a16="http://schemas.microsoft.com/office/drawing/2014/main" id="{A503659B-526C-96CA-3DB8-FA1A00D73843}"/>
            </a:ext>
          </a:extLst>
        </xdr:cNvPr>
        <xdr:cNvSpPr txBox="1"/>
      </xdr:nvSpPr>
      <xdr:spPr>
        <a:xfrm>
          <a:off x="7975596" y="668868"/>
          <a:ext cx="550335" cy="389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DE1F36B-5C2A-409A-B57B-C39A01509645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t>199</a:t>
          </a:fld>
          <a:endParaRPr lang="en-NG" sz="66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558800</xdr:colOff>
      <xdr:row>5</xdr:row>
      <xdr:rowOff>1</xdr:rowOff>
    </xdr:from>
    <xdr:to>
      <xdr:col>6</xdr:col>
      <xdr:colOff>381000</xdr:colOff>
      <xdr:row>6</xdr:row>
      <xdr:rowOff>84667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5A89EF0-4224-7706-663D-7EE524EE5998}"/>
            </a:ext>
          </a:extLst>
        </xdr:cNvPr>
        <xdr:cNvSpPr txBox="1"/>
      </xdr:nvSpPr>
      <xdr:spPr>
        <a:xfrm>
          <a:off x="2997200" y="931334"/>
          <a:ext cx="1041400" cy="270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rgbClr val="697456"/>
              </a:solidFill>
            </a:rPr>
            <a:t>Total Steps</a:t>
          </a:r>
          <a:endParaRPr lang="en-NG" sz="1100" b="0">
            <a:solidFill>
              <a:srgbClr val="697456"/>
            </a:solidFill>
          </a:endParaRPr>
        </a:p>
      </xdr:txBody>
    </xdr:sp>
    <xdr:clientData/>
  </xdr:twoCellAnchor>
  <xdr:twoCellAnchor>
    <xdr:from>
      <xdr:col>7</xdr:col>
      <xdr:colOff>25400</xdr:colOff>
      <xdr:row>5</xdr:row>
      <xdr:rowOff>1</xdr:rowOff>
    </xdr:from>
    <xdr:to>
      <xdr:col>9</xdr:col>
      <xdr:colOff>270933</xdr:colOff>
      <xdr:row>6</xdr:row>
      <xdr:rowOff>25400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9D2B4BA-B46E-FA27-8A26-5A64A199C67A}"/>
            </a:ext>
          </a:extLst>
        </xdr:cNvPr>
        <xdr:cNvSpPr txBox="1"/>
      </xdr:nvSpPr>
      <xdr:spPr>
        <a:xfrm>
          <a:off x="4292600" y="931334"/>
          <a:ext cx="1464733" cy="211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rgbClr val="697456"/>
              </a:solidFill>
            </a:rPr>
            <a:t>Sedementary Minutes</a:t>
          </a:r>
          <a:endParaRPr lang="en-NG" sz="1100" b="0">
            <a:solidFill>
              <a:srgbClr val="697456"/>
            </a:solidFill>
          </a:endParaRPr>
        </a:p>
      </xdr:txBody>
    </xdr:sp>
    <xdr:clientData/>
  </xdr:twoCellAnchor>
  <xdr:twoCellAnchor>
    <xdr:from>
      <xdr:col>9</xdr:col>
      <xdr:colOff>482600</xdr:colOff>
      <xdr:row>5</xdr:row>
      <xdr:rowOff>1</xdr:rowOff>
    </xdr:from>
    <xdr:to>
      <xdr:col>12</xdr:col>
      <xdr:colOff>118533</xdr:colOff>
      <xdr:row>6</xdr:row>
      <xdr:rowOff>25400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470DD38-C45C-9844-0E52-BCFEF7A789AC}"/>
            </a:ext>
          </a:extLst>
        </xdr:cNvPr>
        <xdr:cNvSpPr txBox="1"/>
      </xdr:nvSpPr>
      <xdr:spPr>
        <a:xfrm>
          <a:off x="5969000" y="931334"/>
          <a:ext cx="1464733" cy="211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rgbClr val="697456"/>
              </a:solidFill>
            </a:rPr>
            <a:t>Calories Burned</a:t>
          </a:r>
          <a:endParaRPr lang="en-NG" sz="1100" b="0">
            <a:solidFill>
              <a:srgbClr val="697456"/>
            </a:solidFill>
          </a:endParaRPr>
        </a:p>
      </xdr:txBody>
    </xdr:sp>
    <xdr:clientData/>
  </xdr:twoCellAnchor>
  <xdr:twoCellAnchor>
    <xdr:from>
      <xdr:col>12</xdr:col>
      <xdr:colOff>397933</xdr:colOff>
      <xdr:row>5</xdr:row>
      <xdr:rowOff>1</xdr:rowOff>
    </xdr:from>
    <xdr:to>
      <xdr:col>15</xdr:col>
      <xdr:colOff>33866</xdr:colOff>
      <xdr:row>6</xdr:row>
      <xdr:rowOff>25400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24EB48D-281F-9A26-5F22-5C204AB4A634}"/>
            </a:ext>
          </a:extLst>
        </xdr:cNvPr>
        <xdr:cNvSpPr txBox="1"/>
      </xdr:nvSpPr>
      <xdr:spPr>
        <a:xfrm>
          <a:off x="7713133" y="931334"/>
          <a:ext cx="1464733" cy="211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rgbClr val="697456"/>
              </a:solidFill>
            </a:rPr>
            <a:t>Active Minutes</a:t>
          </a:r>
          <a:endParaRPr lang="en-NG" sz="1100" b="0">
            <a:solidFill>
              <a:srgbClr val="697456"/>
            </a:solidFill>
          </a:endParaRPr>
        </a:p>
      </xdr:txBody>
    </xdr:sp>
    <xdr:clientData/>
  </xdr:twoCellAnchor>
  <xdr:twoCellAnchor>
    <xdr:from>
      <xdr:col>5</xdr:col>
      <xdr:colOff>135466</xdr:colOff>
      <xdr:row>17</xdr:row>
      <xdr:rowOff>50799</xdr:rowOff>
    </xdr:from>
    <xdr:to>
      <xdr:col>10</xdr:col>
      <xdr:colOff>67733</xdr:colOff>
      <xdr:row>19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F89E339-F5D3-2D97-6E9A-8A01B1770768}"/>
            </a:ext>
          </a:extLst>
        </xdr:cNvPr>
        <xdr:cNvSpPr txBox="1"/>
      </xdr:nvSpPr>
      <xdr:spPr>
        <a:xfrm>
          <a:off x="3183466" y="3217332"/>
          <a:ext cx="2980267" cy="321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0">
              <a:solidFill>
                <a:srgbClr val="697456"/>
              </a:solidFill>
            </a:rPr>
            <a:t>Do User behavior varies on weekdays</a:t>
          </a:r>
          <a:r>
            <a:rPr lang="en-US" sz="1050" b="0" baseline="0">
              <a:solidFill>
                <a:srgbClr val="697456"/>
              </a:solidFill>
            </a:rPr>
            <a:t> to weekends?</a:t>
          </a:r>
          <a:endParaRPr lang="en-NG" sz="1050" b="0">
            <a:solidFill>
              <a:srgbClr val="697456"/>
            </a:solidFill>
          </a:endParaRPr>
        </a:p>
      </xdr:txBody>
    </xdr:sp>
    <xdr:clientData/>
  </xdr:twoCellAnchor>
  <xdr:twoCellAnchor>
    <xdr:from>
      <xdr:col>4</xdr:col>
      <xdr:colOff>347132</xdr:colOff>
      <xdr:row>6</xdr:row>
      <xdr:rowOff>143933</xdr:rowOff>
    </xdr:from>
    <xdr:to>
      <xdr:col>10</xdr:col>
      <xdr:colOff>533400</xdr:colOff>
      <xdr:row>8</xdr:row>
      <xdr:rowOff>93135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B996353-76C2-23FF-0D2E-4B8BD395DCFE}"/>
            </a:ext>
          </a:extLst>
        </xdr:cNvPr>
        <xdr:cNvSpPr txBox="1"/>
      </xdr:nvSpPr>
      <xdr:spPr>
        <a:xfrm>
          <a:off x="2785532" y="1261533"/>
          <a:ext cx="3843868" cy="321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0">
              <a:solidFill>
                <a:srgbClr val="697456"/>
              </a:solidFill>
            </a:rPr>
            <a:t>Steps Vs Calories</a:t>
          </a:r>
          <a:endParaRPr lang="en-NG" sz="1050" b="0">
            <a:solidFill>
              <a:srgbClr val="697456"/>
            </a:solidFill>
          </a:endParaRPr>
        </a:p>
      </xdr:txBody>
    </xdr:sp>
    <xdr:clientData/>
  </xdr:twoCellAnchor>
  <xdr:twoCellAnchor>
    <xdr:from>
      <xdr:col>10</xdr:col>
      <xdr:colOff>482601</xdr:colOff>
      <xdr:row>3</xdr:row>
      <xdr:rowOff>177800</xdr:rowOff>
    </xdr:from>
    <xdr:to>
      <xdr:col>11</xdr:col>
      <xdr:colOff>457200</xdr:colOff>
      <xdr:row>5</xdr:row>
      <xdr:rowOff>101600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EB100E5-3329-F135-B73F-A64DFB175CD5}"/>
            </a:ext>
          </a:extLst>
        </xdr:cNvPr>
        <xdr:cNvSpPr txBox="1"/>
      </xdr:nvSpPr>
      <xdr:spPr>
        <a:xfrm>
          <a:off x="6578601" y="736600"/>
          <a:ext cx="584199" cy="296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(Kcal)</a:t>
          </a:r>
        </a:p>
        <a:p>
          <a:endParaRPr lang="en-NG" sz="900"/>
        </a:p>
      </xdr:txBody>
    </xdr:sp>
    <xdr:clientData/>
  </xdr:twoCellAnchor>
  <xdr:twoCellAnchor>
    <xdr:from>
      <xdr:col>13</xdr:col>
      <xdr:colOff>381000</xdr:colOff>
      <xdr:row>3</xdr:row>
      <xdr:rowOff>177800</xdr:rowOff>
    </xdr:from>
    <xdr:to>
      <xdr:col>14</xdr:col>
      <xdr:colOff>355599</xdr:colOff>
      <xdr:row>5</xdr:row>
      <xdr:rowOff>101600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F4551B7-7C52-07FD-0836-8EA123F58879}"/>
            </a:ext>
          </a:extLst>
        </xdr:cNvPr>
        <xdr:cNvSpPr txBox="1"/>
      </xdr:nvSpPr>
      <xdr:spPr>
        <a:xfrm>
          <a:off x="8305800" y="736600"/>
          <a:ext cx="584199" cy="296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(mins)</a:t>
          </a:r>
        </a:p>
        <a:p>
          <a:endParaRPr lang="en-NG" sz="900"/>
        </a:p>
      </xdr:txBody>
    </xdr:sp>
    <xdr:clientData/>
  </xdr:twoCellAnchor>
  <xdr:twoCellAnchor>
    <xdr:from>
      <xdr:col>8</xdr:col>
      <xdr:colOff>169333</xdr:colOff>
      <xdr:row>3</xdr:row>
      <xdr:rowOff>177800</xdr:rowOff>
    </xdr:from>
    <xdr:to>
      <xdr:col>9</xdr:col>
      <xdr:colOff>143932</xdr:colOff>
      <xdr:row>5</xdr:row>
      <xdr:rowOff>101600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F78D467-00D0-0645-92D8-EEDE84297295}"/>
            </a:ext>
          </a:extLst>
        </xdr:cNvPr>
        <xdr:cNvSpPr txBox="1"/>
      </xdr:nvSpPr>
      <xdr:spPr>
        <a:xfrm>
          <a:off x="5046133" y="736600"/>
          <a:ext cx="584199" cy="296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(mins)</a:t>
          </a:r>
        </a:p>
        <a:p>
          <a:endParaRPr lang="en-NG" sz="9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Igeria%20Car%20Analaysis.xlsx" TargetMode="External"/><Relationship Id="rId2" Type="http://schemas.openxmlformats.org/officeDocument/2006/relationships/externalLinkPath" Target="file:///C:\Users\Antony\Downloads\NIgeria%20Car%20Analaysis.xlsx" TargetMode="External"/><Relationship Id="rId1" Type="http://schemas.openxmlformats.org/officeDocument/2006/relationships/externalLinkPath" Target="/Users/Antony/Downloads/NIgeria%20Car%20Anala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45_data"/>
      <sheetName val="Exploatory Analysis"/>
      <sheetName val="Dashboard"/>
    </sheetNames>
    <sheetDataSet>
      <sheetData sheetId="0"/>
      <sheetData sheetId="1">
        <row r="4">
          <cell r="A4">
            <v>4011952.794860994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070.602218402775" createdVersion="8" refreshedVersion="8" minRefreshableVersion="3" recordCount="457" xr:uid="{D21D5A80-DE61-41B5-9416-19EB4DE435E8}">
  <cacheSource type="worksheet">
    <worksheetSource ref="A1:R458" sheet="dailyActivity_merged"/>
  </cacheSource>
  <cacheFields count="18">
    <cacheField name="Id" numFmtId="0">
      <sharedItems containsSemiMixedTypes="0" containsString="0" containsNumber="1" containsInteger="1" minValue="1503960366" maxValue="8877689391"/>
    </cacheField>
    <cacheField name="ActivityDate" numFmtId="14">
      <sharedItems containsSemiMixedTypes="0" containsNonDate="0" containsDate="1" containsString="0" minDate="2016-03-12T00:00:00" maxDate="2016-04-13T00:00:00"/>
    </cacheField>
    <cacheField name="TotalSteps" numFmtId="0">
      <sharedItems containsSemiMixedTypes="0" containsString="0" containsNumber="1" containsInteger="1" minValue="0" maxValue="28497"/>
    </cacheField>
    <cacheField name="TotalDistance" numFmtId="0">
      <sharedItems containsSemiMixedTypes="0" containsString="0" containsNumber="1" minValue="0" maxValue="27.530000686645501"/>
    </cacheField>
    <cacheField name="TrackerDistance" numFmtId="0">
      <sharedItems containsSemiMixedTypes="0" containsString="0" containsNumber="1" minValue="0" maxValue="27.530000686645501"/>
    </cacheField>
    <cacheField name="LoggedActivitiesDistance" numFmtId="0">
      <sharedItems containsSemiMixedTypes="0" containsString="0" containsNumber="1" minValue="0" maxValue="6.7270569801330602"/>
    </cacheField>
    <cacheField name="VeryActiveDistance" numFmtId="0">
      <sharedItems containsSemiMixedTypes="0" containsString="0" containsNumber="1" minValue="0" maxValue="21.920000076293899"/>
    </cacheField>
    <cacheField name="ModeratelyActiveDistance" numFmtId="0">
      <sharedItems containsSemiMixedTypes="0" containsString="0" containsNumber="1" minValue="0" maxValue="6.4000000953674299"/>
    </cacheField>
    <cacheField name="LightActiveDistance" numFmtId="0">
      <sharedItems containsSemiMixedTypes="0" containsString="0" containsNumber="1" minValue="0" maxValue="12.5100002288818"/>
    </cacheField>
    <cacheField name="SedentaryActiveDistance" numFmtId="0">
      <sharedItems containsSemiMixedTypes="0" containsString="0" containsNumber="1" minValue="0" maxValue="0.10000000149011599"/>
    </cacheField>
    <cacheField name="VeryActiveMinutes" numFmtId="0">
      <sharedItems containsSemiMixedTypes="0" containsString="0" containsNumber="1" containsInteger="1" minValue="0" maxValue="202"/>
    </cacheField>
    <cacheField name="FairlyActiveMinutes" numFmtId="0">
      <sharedItems containsSemiMixedTypes="0" containsString="0" containsNumber="1" containsInteger="1" minValue="0" maxValue="660"/>
    </cacheField>
    <cacheField name="LightlyActiveMinutes" numFmtId="0">
      <sharedItems containsSemiMixedTypes="0" containsString="0" containsNumber="1" containsInteger="1" minValue="0" maxValue="720"/>
    </cacheField>
    <cacheField name="SedentaryMinutes" numFmtId="0">
      <sharedItems containsSemiMixedTypes="0" containsString="0" containsNumber="1" containsInteger="1" minValue="32" maxValue="1440"/>
    </cacheField>
    <cacheField name="Calories" numFmtId="0">
      <sharedItems containsSemiMixedTypes="0" containsString="0" containsNumber="1" containsInteger="1" minValue="0" maxValue="4562"/>
    </cacheField>
    <cacheField name="Anomaly" numFmtId="0">
      <sharedItems count="2">
        <s v="Valid"/>
        <s v="Invalid"/>
      </sharedItems>
    </cacheField>
    <cacheField name="Day_Type" numFmtId="0">
      <sharedItems count="2">
        <s v="weekdays"/>
        <s v="weekends"/>
      </sharedItems>
    </cacheField>
    <cacheField name="PrimaryActivityType" numFmtId="0">
      <sharedItems count="2">
        <s v="Sedentary"/>
        <s v="Lightly Active"/>
      </sharedItems>
    </cacheField>
  </cacheFields>
  <extLst>
    <ext xmlns:x14="http://schemas.microsoft.com/office/spreadsheetml/2009/9/main" uri="{725AE2AE-9491-48be-B2B4-4EB974FC3084}">
      <x14:pivotCacheDefinition pivotCacheId="177838258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070.602219328706" createdVersion="8" refreshedVersion="8" minRefreshableVersion="3" recordCount="457" xr:uid="{E785A642-EC42-4584-8B03-17A82BD2AF63}">
  <cacheSource type="worksheet">
    <worksheetSource ref="A1:Q458" sheet="dailyActivity_merged"/>
  </cacheSource>
  <cacheFields count="17">
    <cacheField name="Id" numFmtId="0">
      <sharedItems containsSemiMixedTypes="0" containsString="0" containsNumber="1" containsInteger="1" minValue="1503960366" maxValue="8877689391"/>
    </cacheField>
    <cacheField name="ActivityDate" numFmtId="14">
      <sharedItems containsSemiMixedTypes="0" containsNonDate="0" containsDate="1" containsString="0" minDate="2016-03-12T00:00:00" maxDate="2016-04-13T00:00:00" count="32"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</sharedItems>
    </cacheField>
    <cacheField name="TotalSteps" numFmtId="0">
      <sharedItems containsSemiMixedTypes="0" containsString="0" containsNumber="1" containsInteger="1" minValue="0" maxValue="28497"/>
    </cacheField>
    <cacheField name="TotalDistance" numFmtId="0">
      <sharedItems containsSemiMixedTypes="0" containsString="0" containsNumber="1" minValue="0" maxValue="27.530000686645501"/>
    </cacheField>
    <cacheField name="TrackerDistance" numFmtId="0">
      <sharedItems containsSemiMixedTypes="0" containsString="0" containsNumber="1" minValue="0" maxValue="27.530000686645501"/>
    </cacheField>
    <cacheField name="LoggedActivitiesDistance" numFmtId="0">
      <sharedItems containsSemiMixedTypes="0" containsString="0" containsNumber="1" minValue="0" maxValue="6.7270569801330602"/>
    </cacheField>
    <cacheField name="VeryActiveDistance" numFmtId="0">
      <sharedItems containsSemiMixedTypes="0" containsString="0" containsNumber="1" minValue="0" maxValue="21.920000076293899"/>
    </cacheField>
    <cacheField name="ModeratelyActiveDistance" numFmtId="0">
      <sharedItems containsSemiMixedTypes="0" containsString="0" containsNumber="1" minValue="0" maxValue="6.4000000953674299"/>
    </cacheField>
    <cacheField name="LightActiveDistance" numFmtId="0">
      <sharedItems containsSemiMixedTypes="0" containsString="0" containsNumber="1" minValue="0" maxValue="12.5100002288818"/>
    </cacheField>
    <cacheField name="SedentaryActiveDistance" numFmtId="0">
      <sharedItems containsSemiMixedTypes="0" containsString="0" containsNumber="1" minValue="0" maxValue="0.10000000149011599"/>
    </cacheField>
    <cacheField name="VeryActiveMinutes" numFmtId="0">
      <sharedItems containsSemiMixedTypes="0" containsString="0" containsNumber="1" containsInteger="1" minValue="0" maxValue="202"/>
    </cacheField>
    <cacheField name="FairlyActiveMinutes" numFmtId="0">
      <sharedItems containsSemiMixedTypes="0" containsString="0" containsNumber="1" containsInteger="1" minValue="0" maxValue="660"/>
    </cacheField>
    <cacheField name="LightlyActiveMinutes" numFmtId="0">
      <sharedItems containsSemiMixedTypes="0" containsString="0" containsNumber="1" containsInteger="1" minValue="0" maxValue="720"/>
    </cacheField>
    <cacheField name="SedentaryMinutes" numFmtId="0">
      <sharedItems containsSemiMixedTypes="0" containsString="0" containsNumber="1" containsInteger="1" minValue="32" maxValue="1440"/>
    </cacheField>
    <cacheField name="Calories" numFmtId="0">
      <sharedItems containsSemiMixedTypes="0" containsString="0" containsNumber="1" containsInteger="1" minValue="0" maxValue="4562"/>
    </cacheField>
    <cacheField name="Anomaly" numFmtId="0">
      <sharedItems count="2">
        <s v="Valid"/>
        <s v="Invalid"/>
      </sharedItems>
    </cacheField>
    <cacheField name="Day_Type" numFmtId="0">
      <sharedItems count="2">
        <s v="weekdays"/>
        <s v="weekends"/>
      </sharedItems>
    </cacheField>
  </cacheFields>
  <extLst>
    <ext xmlns:x14="http://schemas.microsoft.com/office/spreadsheetml/2009/9/main" uri="{725AE2AE-9491-48be-B2B4-4EB974FC3084}">
      <x14:pivotCacheDefinition pivotCacheId="194580208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070.602220717592" createdVersion="8" refreshedVersion="8" minRefreshableVersion="3" recordCount="457" xr:uid="{C0F2D6DD-AFAE-4024-A5FD-C698178B7A22}">
  <cacheSource type="worksheet">
    <worksheetSource ref="A1:P458" sheet="dailyActivity_merged"/>
  </cacheSource>
  <cacheFields count="18">
    <cacheField name="Id" numFmtId="0">
      <sharedItems containsSemiMixedTypes="0" containsString="0" containsNumber="1" containsInteger="1" minValue="1503960366" maxValue="8877689391" count="35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2891001357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391747486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</sharedItems>
    </cacheField>
    <cacheField name="ActivityDate" numFmtId="14">
      <sharedItems containsSemiMixedTypes="0" containsNonDate="0" containsDate="1" containsString="0" minDate="2016-03-12T00:00:00" maxDate="2016-04-13T00:00:00" count="32"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</sharedItems>
      <fieldGroup par="17"/>
    </cacheField>
    <cacheField name="TotalSteps" numFmtId="0">
      <sharedItems containsSemiMixedTypes="0" containsString="0" containsNumber="1" containsInteger="1" minValue="0" maxValue="28497"/>
    </cacheField>
    <cacheField name="TotalDistance" numFmtId="0">
      <sharedItems containsSemiMixedTypes="0" containsString="0" containsNumber="1" minValue="0" maxValue="27.530000686645501"/>
    </cacheField>
    <cacheField name="TrackerDistance" numFmtId="0">
      <sharedItems containsSemiMixedTypes="0" containsString="0" containsNumber="1" minValue="0" maxValue="27.530000686645501"/>
    </cacheField>
    <cacheField name="LoggedActivitiesDistance" numFmtId="0">
      <sharedItems containsSemiMixedTypes="0" containsString="0" containsNumber="1" minValue="0" maxValue="6.7270569801330602"/>
    </cacheField>
    <cacheField name="VeryActiveDistance" numFmtId="0">
      <sharedItems containsSemiMixedTypes="0" containsString="0" containsNumber="1" minValue="0" maxValue="21.920000076293899"/>
    </cacheField>
    <cacheField name="ModeratelyActiveDistance" numFmtId="0">
      <sharedItems containsSemiMixedTypes="0" containsString="0" containsNumber="1" minValue="0" maxValue="6.4000000953674299"/>
    </cacheField>
    <cacheField name="LightActiveDistance" numFmtId="0">
      <sharedItems containsSemiMixedTypes="0" containsString="0" containsNumber="1" minValue="0" maxValue="12.5100002288818"/>
    </cacheField>
    <cacheField name="SedentaryActiveDistance" numFmtId="0">
      <sharedItems containsSemiMixedTypes="0" containsString="0" containsNumber="1" minValue="0" maxValue="0.10000000149011599"/>
    </cacheField>
    <cacheField name="VeryActiveMinutes" numFmtId="0">
      <sharedItems containsSemiMixedTypes="0" containsString="0" containsNumber="1" containsInteger="1" minValue="0" maxValue="202"/>
    </cacheField>
    <cacheField name="FairlyActiveMinutes" numFmtId="0">
      <sharedItems containsSemiMixedTypes="0" containsString="0" containsNumber="1" containsInteger="1" minValue="0" maxValue="660"/>
    </cacheField>
    <cacheField name="LightlyActiveMinutes" numFmtId="0">
      <sharedItems containsSemiMixedTypes="0" containsString="0" containsNumber="1" containsInteger="1" minValue="0" maxValue="720"/>
    </cacheField>
    <cacheField name="SedentaryMinutes" numFmtId="0">
      <sharedItems containsSemiMixedTypes="0" containsString="0" containsNumber="1" containsInteger="1" minValue="32" maxValue="1440"/>
    </cacheField>
    <cacheField name="Calories" numFmtId="0">
      <sharedItems containsSemiMixedTypes="0" containsString="0" containsNumber="1" containsInteger="1" minValue="0" maxValue="4562"/>
    </cacheField>
    <cacheField name="Anomaly" numFmtId="0">
      <sharedItems count="2">
        <s v="Valid"/>
        <s v="Invalid"/>
      </sharedItems>
    </cacheField>
    <cacheField name="Days (ActivityDate)" numFmtId="0" databaseField="0">
      <fieldGroup base="1">
        <rangePr groupBy="days" startDate="2016-03-12T00:00:00" endDate="2016-04-13T00:00:00"/>
        <groupItems count="368">
          <s v="&lt;12/03/20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/04/2016"/>
        </groupItems>
      </fieldGroup>
    </cacheField>
    <cacheField name="Months (ActivityDate)" numFmtId="0" databaseField="0">
      <fieldGroup base="1">
        <rangePr groupBy="months" startDate="2016-03-12T00:00:00" endDate="2016-04-13T00:00:00"/>
        <groupItems count="14">
          <s v="&lt;12/03/201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3/04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n v="1503960366"/>
    <d v="2016-03-25T00:00:00"/>
    <n v="11004"/>
    <n v="7.1100001335143999"/>
    <n v="7.1100001335143999"/>
    <n v="0"/>
    <n v="2.5699999332428001"/>
    <n v="0.46000000834464999"/>
    <n v="4.0700001716613796"/>
    <n v="0"/>
    <n v="33"/>
    <n v="12"/>
    <n v="205"/>
    <n v="804"/>
    <n v="1819"/>
    <x v="0"/>
    <x v="0"/>
    <x v="0"/>
  </r>
  <r>
    <n v="1503960366"/>
    <d v="2016-03-26T00:00:00"/>
    <n v="17609"/>
    <n v="11.550000190734901"/>
    <n v="11.550000190734901"/>
    <n v="0"/>
    <n v="6.9200000762939498"/>
    <n v="0.730000019073486"/>
    <n v="3.9100000858306898"/>
    <n v="0"/>
    <n v="89"/>
    <n v="17"/>
    <n v="274"/>
    <n v="588"/>
    <n v="2154"/>
    <x v="0"/>
    <x v="1"/>
    <x v="0"/>
  </r>
  <r>
    <n v="1503960366"/>
    <d v="2016-03-27T00:00:00"/>
    <n v="12736"/>
    <n v="8.5299997329711896"/>
    <n v="8.5299997329711896"/>
    <n v="0"/>
    <n v="4.6599998474121103"/>
    <n v="0.15999999642372101"/>
    <n v="3.71000003814697"/>
    <n v="0"/>
    <n v="56"/>
    <n v="5"/>
    <n v="268"/>
    <n v="605"/>
    <n v="1944"/>
    <x v="0"/>
    <x v="1"/>
    <x v="0"/>
  </r>
  <r>
    <n v="1503960366"/>
    <d v="2016-03-28T00:00:00"/>
    <n v="13231"/>
    <n v="8.9300003051757795"/>
    <n v="8.9300003051757795"/>
    <n v="0"/>
    <n v="3.1900000572204599"/>
    <n v="0.79000002145767201"/>
    <n v="4.9499998092651403"/>
    <n v="0"/>
    <n v="39"/>
    <n v="20"/>
    <n v="224"/>
    <n v="1080"/>
    <n v="1932"/>
    <x v="0"/>
    <x v="0"/>
    <x v="0"/>
  </r>
  <r>
    <n v="1503960366"/>
    <d v="2016-03-29T00:00:00"/>
    <n v="12041"/>
    <n v="7.8499999046325701"/>
    <n v="7.8499999046325701"/>
    <n v="0"/>
    <n v="2.1600000858306898"/>
    <n v="1.0900000333786"/>
    <n v="4.6100001335143999"/>
    <n v="0"/>
    <n v="28"/>
    <n v="28"/>
    <n v="243"/>
    <n v="763"/>
    <n v="1886"/>
    <x v="0"/>
    <x v="0"/>
    <x v="0"/>
  </r>
  <r>
    <n v="1503960366"/>
    <d v="2016-03-30T00:00:00"/>
    <n v="10970"/>
    <n v="7.1599998474121103"/>
    <n v="7.1599998474121103"/>
    <n v="0"/>
    <n v="2.3599998950958301"/>
    <n v="0.50999999046325695"/>
    <n v="4.28999996185303"/>
    <n v="0"/>
    <n v="30"/>
    <n v="13"/>
    <n v="223"/>
    <n v="1174"/>
    <n v="1820"/>
    <x v="0"/>
    <x v="0"/>
    <x v="0"/>
  </r>
  <r>
    <n v="1503960366"/>
    <d v="2016-03-31T00:00:00"/>
    <n v="12256"/>
    <n v="7.8600001335143999"/>
    <n v="7.8600001335143999"/>
    <n v="0"/>
    <n v="2.28999996185303"/>
    <n v="0.490000009536743"/>
    <n v="5.03999996185303"/>
    <n v="0"/>
    <n v="33"/>
    <n v="12"/>
    <n v="239"/>
    <n v="820"/>
    <n v="1889"/>
    <x v="0"/>
    <x v="0"/>
    <x v="0"/>
  </r>
  <r>
    <n v="1503960366"/>
    <d v="2016-04-01T00:00:00"/>
    <n v="12262"/>
    <n v="7.8699998855590803"/>
    <n v="7.8699998855590803"/>
    <n v="0"/>
    <n v="3.3199999332428001"/>
    <n v="0.82999998331069902"/>
    <n v="3.6400001049041699"/>
    <n v="0"/>
    <n v="47"/>
    <n v="21"/>
    <n v="200"/>
    <n v="866"/>
    <n v="1868"/>
    <x v="0"/>
    <x v="0"/>
    <x v="0"/>
  </r>
  <r>
    <n v="1503960366"/>
    <d v="2016-04-02T00:00:00"/>
    <n v="11248"/>
    <n v="7.25"/>
    <n v="7.25"/>
    <n v="0"/>
    <n v="3"/>
    <n v="0.44999998807907099"/>
    <n v="3.7400000095367401"/>
    <n v="0"/>
    <n v="40"/>
    <n v="11"/>
    <n v="244"/>
    <n v="636"/>
    <n v="1843"/>
    <x v="0"/>
    <x v="1"/>
    <x v="0"/>
  </r>
  <r>
    <n v="1503960366"/>
    <d v="2016-04-03T00:00:00"/>
    <n v="10016"/>
    <n v="6.3699998855590803"/>
    <n v="6.3699998855590803"/>
    <n v="0"/>
    <n v="0.91000002622604403"/>
    <n v="1.2799999713897701"/>
    <n v="4.1799998283386204"/>
    <n v="0"/>
    <n v="15"/>
    <n v="30"/>
    <n v="314"/>
    <n v="655"/>
    <n v="1850"/>
    <x v="0"/>
    <x v="1"/>
    <x v="0"/>
  </r>
  <r>
    <n v="1503960366"/>
    <d v="2016-04-04T00:00:00"/>
    <n v="14557"/>
    <n v="9.8000001907348597"/>
    <n v="9.8000001907348597"/>
    <n v="0"/>
    <n v="3.3900001049041699"/>
    <n v="0.69999998807907104"/>
    <n v="5.6900000572204599"/>
    <n v="0"/>
    <n v="43"/>
    <n v="18"/>
    <n v="285"/>
    <n v="757"/>
    <n v="2030"/>
    <x v="0"/>
    <x v="0"/>
    <x v="0"/>
  </r>
  <r>
    <n v="1503960366"/>
    <d v="2016-04-05T00:00:00"/>
    <n v="14844"/>
    <n v="9.7299995422363299"/>
    <n v="9.7299995422363299"/>
    <n v="0"/>
    <n v="2.9400000572204599"/>
    <n v="0.75999999046325695"/>
    <n v="6.03999996185303"/>
    <n v="0"/>
    <n v="36"/>
    <n v="18"/>
    <n v="341"/>
    <n v="736"/>
    <n v="2083"/>
    <x v="0"/>
    <x v="0"/>
    <x v="0"/>
  </r>
  <r>
    <n v="1503960366"/>
    <d v="2016-04-06T00:00:00"/>
    <n v="11974"/>
    <n v="7.6700000762939498"/>
    <n v="7.6700000762939498"/>
    <n v="0"/>
    <n v="2.03999996185303"/>
    <n v="0.479999989271164"/>
    <n v="5.1500000953674299"/>
    <n v="0"/>
    <n v="27"/>
    <n v="12"/>
    <n v="228"/>
    <n v="1173"/>
    <n v="1861"/>
    <x v="0"/>
    <x v="0"/>
    <x v="0"/>
  </r>
  <r>
    <n v="1503960366"/>
    <d v="2016-04-07T00:00:00"/>
    <n v="10198"/>
    <n v="6.4400000572204599"/>
    <n v="6.4400000572204599"/>
    <n v="0"/>
    <n v="1.20000004768372"/>
    <n v="0.79000002145767201"/>
    <n v="4.4499998092651403"/>
    <n v="0"/>
    <n v="17"/>
    <n v="20"/>
    <n v="195"/>
    <n v="1208"/>
    <n v="1755"/>
    <x v="0"/>
    <x v="0"/>
    <x v="0"/>
  </r>
  <r>
    <n v="1503960366"/>
    <d v="2016-04-08T00:00:00"/>
    <n v="12521"/>
    <n v="7.9400000572204599"/>
    <n v="7.9400000572204599"/>
    <n v="0"/>
    <n v="3.3099999427795401"/>
    <n v="0.89999997615814198"/>
    <n v="3.7400000095367401"/>
    <n v="0"/>
    <n v="46"/>
    <n v="22"/>
    <n v="212"/>
    <n v="1160"/>
    <n v="1895"/>
    <x v="0"/>
    <x v="0"/>
    <x v="0"/>
  </r>
  <r>
    <n v="1503960366"/>
    <d v="2016-04-09T00:00:00"/>
    <n v="12432"/>
    <n v="8.1000003814697301"/>
    <n v="8.1000003814697301"/>
    <n v="0"/>
    <n v="2.5899999141693102"/>
    <n v="0.58999997377395597"/>
    <n v="4.9200000762939498"/>
    <n v="0"/>
    <n v="32"/>
    <n v="15"/>
    <n v="248"/>
    <n v="738"/>
    <n v="1883"/>
    <x v="0"/>
    <x v="1"/>
    <x v="0"/>
  </r>
  <r>
    <n v="1503960366"/>
    <d v="2016-04-10T00:00:00"/>
    <n v="10057"/>
    <n v="6.9800000190734899"/>
    <n v="6.9800000190734899"/>
    <n v="0"/>
    <n v="4"/>
    <n v="0.490000009536743"/>
    <n v="2.4800000190734899"/>
    <n v="0"/>
    <n v="44"/>
    <n v="13"/>
    <n v="168"/>
    <n v="737"/>
    <n v="1755"/>
    <x v="0"/>
    <x v="1"/>
    <x v="0"/>
  </r>
  <r>
    <n v="1503960366"/>
    <d v="2016-04-11T00:00:00"/>
    <n v="10990"/>
    <n v="7.2600002288818404"/>
    <n v="7.2600002288818404"/>
    <n v="0"/>
    <n v="2.03999996185303"/>
    <n v="0.56999999284744296"/>
    <n v="4.6500000953674299"/>
    <n v="0"/>
    <n v="26"/>
    <n v="14"/>
    <n v="216"/>
    <n v="855"/>
    <n v="1811"/>
    <x v="0"/>
    <x v="0"/>
    <x v="0"/>
  </r>
  <r>
    <n v="1503960366"/>
    <d v="2016-04-12T00:00:00"/>
    <n v="224"/>
    <n v="0.140000000596046"/>
    <n v="0.140000000596046"/>
    <n v="0"/>
    <n v="0"/>
    <n v="0"/>
    <n v="0.129999995231628"/>
    <n v="0"/>
    <n v="0"/>
    <n v="0"/>
    <n v="9"/>
    <n v="32"/>
    <n v="50"/>
    <x v="0"/>
    <x v="0"/>
    <x v="0"/>
  </r>
  <r>
    <n v="1624580081"/>
    <d v="2016-03-25T00:00:00"/>
    <n v="1810"/>
    <n v="1.1799999475479099"/>
    <n v="1.1799999475479099"/>
    <n v="0"/>
    <n v="0"/>
    <n v="0"/>
    <n v="1.12999999523163"/>
    <n v="9.9999997764825804E-3"/>
    <n v="0"/>
    <n v="0"/>
    <n v="121"/>
    <n v="1319"/>
    <n v="1373"/>
    <x v="0"/>
    <x v="0"/>
    <x v="0"/>
  </r>
  <r>
    <n v="1624580081"/>
    <d v="2016-03-26T00:00:00"/>
    <n v="815"/>
    <n v="0.52999997138977095"/>
    <n v="0.52999997138977095"/>
    <n v="0"/>
    <n v="0"/>
    <n v="0"/>
    <n v="0.52999997138977095"/>
    <n v="0"/>
    <n v="0"/>
    <n v="0"/>
    <n v="47"/>
    <n v="1393"/>
    <n v="1264"/>
    <x v="0"/>
    <x v="1"/>
    <x v="0"/>
  </r>
  <r>
    <n v="1624580081"/>
    <d v="2016-03-27T00:00:00"/>
    <n v="1985"/>
    <n v="1.28999996185303"/>
    <n v="1.28999996185303"/>
    <n v="0"/>
    <n v="0"/>
    <n v="0"/>
    <n v="1.2799999713897701"/>
    <n v="9.9999997764825804E-3"/>
    <n v="0"/>
    <n v="0"/>
    <n v="112"/>
    <n v="1328"/>
    <n v="1350"/>
    <x v="0"/>
    <x v="1"/>
    <x v="0"/>
  </r>
  <r>
    <n v="1624580081"/>
    <d v="2016-03-28T00:00:00"/>
    <n v="1905"/>
    <n v="1.2400000095367401"/>
    <n v="1.2400000095367401"/>
    <n v="0"/>
    <n v="0"/>
    <n v="0"/>
    <n v="1.2400000095367401"/>
    <n v="0"/>
    <n v="0"/>
    <n v="0"/>
    <n v="95"/>
    <n v="1345"/>
    <n v="1342"/>
    <x v="0"/>
    <x v="0"/>
    <x v="0"/>
  </r>
  <r>
    <n v="1624580081"/>
    <d v="2016-03-29T00:00:00"/>
    <n v="1552"/>
    <n v="1.0099999904632599"/>
    <n v="1.0099999904632599"/>
    <n v="0"/>
    <n v="0"/>
    <n v="0"/>
    <n v="1"/>
    <n v="0"/>
    <n v="0"/>
    <n v="0"/>
    <n v="66"/>
    <n v="1374"/>
    <n v="1300"/>
    <x v="0"/>
    <x v="0"/>
    <x v="0"/>
  </r>
  <r>
    <n v="1624580081"/>
    <d v="2016-03-30T00:00:00"/>
    <n v="1675"/>
    <n v="1.0900000333786"/>
    <n v="1.0900000333786"/>
    <n v="0"/>
    <n v="0"/>
    <n v="0"/>
    <n v="1.0900000333786"/>
    <n v="0"/>
    <n v="0"/>
    <n v="0"/>
    <n v="84"/>
    <n v="1356"/>
    <n v="1313"/>
    <x v="0"/>
    <x v="0"/>
    <x v="0"/>
  </r>
  <r>
    <n v="1624580081"/>
    <d v="2016-03-31T00:00:00"/>
    <n v="4506"/>
    <n v="2.9300000667571999"/>
    <n v="2.9300000667571999"/>
    <n v="0"/>
    <n v="0.50999999046325695"/>
    <n v="0.270000010728836"/>
    <n v="2.1500000953674299"/>
    <n v="9.9999997764825804E-3"/>
    <n v="7"/>
    <n v="4"/>
    <n v="144"/>
    <n v="1285"/>
    <n v="1498"/>
    <x v="0"/>
    <x v="0"/>
    <x v="0"/>
  </r>
  <r>
    <n v="1624580081"/>
    <d v="2016-04-01T00:00:00"/>
    <n v="9218"/>
    <n v="5.9899997711181596"/>
    <n v="5.9899997711181596"/>
    <n v="0"/>
    <n v="0"/>
    <n v="0"/>
    <n v="5.9699997901916504"/>
    <n v="9.9999997764825804E-3"/>
    <n v="0"/>
    <n v="0"/>
    <n v="221"/>
    <n v="1219"/>
    <n v="1541"/>
    <x v="0"/>
    <x v="0"/>
    <x v="0"/>
  </r>
  <r>
    <n v="1624580081"/>
    <d v="2016-04-02T00:00:00"/>
    <n v="1556"/>
    <n v="1.0099999904632599"/>
    <n v="1.0099999904632599"/>
    <n v="0"/>
    <n v="0"/>
    <n v="0"/>
    <n v="1.0099999904632599"/>
    <n v="9.9999997764825804E-3"/>
    <n v="0"/>
    <n v="0"/>
    <n v="88"/>
    <n v="1352"/>
    <n v="1327"/>
    <x v="0"/>
    <x v="1"/>
    <x v="0"/>
  </r>
  <r>
    <n v="1624580081"/>
    <d v="2016-04-03T00:00:00"/>
    <n v="2910"/>
    <n v="1.8899999856948899"/>
    <n v="1.8899999856948899"/>
    <n v="0"/>
    <n v="0"/>
    <n v="0"/>
    <n v="1.87999999523163"/>
    <n v="9.9999997764825804E-3"/>
    <n v="0"/>
    <n v="0"/>
    <n v="157"/>
    <n v="1283"/>
    <n v="1452"/>
    <x v="0"/>
    <x v="1"/>
    <x v="0"/>
  </r>
  <r>
    <n v="1624580081"/>
    <d v="2016-04-04T00:00:00"/>
    <n v="18464"/>
    <n v="12"/>
    <n v="12"/>
    <n v="0"/>
    <n v="0"/>
    <n v="0"/>
    <n v="12"/>
    <n v="0"/>
    <n v="0"/>
    <n v="0"/>
    <n v="270"/>
    <n v="1170"/>
    <n v="1574"/>
    <x v="0"/>
    <x v="0"/>
    <x v="0"/>
  </r>
  <r>
    <n v="1624580081"/>
    <d v="2016-04-05T00:00:00"/>
    <n v="1335"/>
    <n v="0.87000000476837203"/>
    <n v="0.87000000476837203"/>
    <n v="0"/>
    <n v="0"/>
    <n v="0"/>
    <n v="0.87000000476837203"/>
    <n v="0"/>
    <n v="0"/>
    <n v="0"/>
    <n v="74"/>
    <n v="1366"/>
    <n v="1308"/>
    <x v="0"/>
    <x v="0"/>
    <x v="0"/>
  </r>
  <r>
    <n v="1624580081"/>
    <d v="2016-04-06T00:00:00"/>
    <n v="1004"/>
    <n v="0.64999997615814198"/>
    <n v="0.64999997615814198"/>
    <n v="0"/>
    <n v="0"/>
    <n v="0"/>
    <n v="0.64999997615814198"/>
    <n v="0"/>
    <n v="0"/>
    <n v="0"/>
    <n v="55"/>
    <n v="1385"/>
    <n v="1276"/>
    <x v="0"/>
    <x v="0"/>
    <x v="0"/>
  </r>
  <r>
    <n v="1624580081"/>
    <d v="2016-04-07T00:00:00"/>
    <n v="1111"/>
    <n v="0.72000002861022905"/>
    <n v="0.72000002861022905"/>
    <n v="0"/>
    <n v="0"/>
    <n v="0"/>
    <n v="0.72000002861022905"/>
    <n v="0"/>
    <n v="0"/>
    <n v="0"/>
    <n v="54"/>
    <n v="1386"/>
    <n v="1278"/>
    <x v="0"/>
    <x v="0"/>
    <x v="0"/>
  </r>
  <r>
    <n v="1624580081"/>
    <d v="2016-04-08T00:00:00"/>
    <n v="6344"/>
    <n v="4.1199998855590803"/>
    <n v="4.1199998855590803"/>
    <n v="0"/>
    <n v="0"/>
    <n v="0"/>
    <n v="4.0999999046325701"/>
    <n v="0"/>
    <n v="0"/>
    <n v="0"/>
    <n v="143"/>
    <n v="1297"/>
    <n v="1409"/>
    <x v="0"/>
    <x v="0"/>
    <x v="0"/>
  </r>
  <r>
    <n v="1624580081"/>
    <d v="2016-04-09T00:00:00"/>
    <n v="3572"/>
    <n v="2.3199999332428001"/>
    <n v="2.3199999332428001"/>
    <n v="0"/>
    <n v="0"/>
    <n v="0"/>
    <n v="2.28999996185303"/>
    <n v="2.9999999329447701E-2"/>
    <n v="0"/>
    <n v="0"/>
    <n v="122"/>
    <n v="1318"/>
    <n v="1370"/>
    <x v="0"/>
    <x v="1"/>
    <x v="0"/>
  </r>
  <r>
    <n v="1624580081"/>
    <d v="2016-04-10T00:00:00"/>
    <n v="3910"/>
    <n v="2.53999996185303"/>
    <n v="2.53999996185303"/>
    <n v="0"/>
    <n v="0.46999999880790699"/>
    <n v="0.25"/>
    <n v="1.8099999427795399"/>
    <n v="9.9999997764825804E-3"/>
    <n v="7"/>
    <n v="7"/>
    <n v="186"/>
    <n v="1240"/>
    <n v="1555"/>
    <x v="0"/>
    <x v="1"/>
    <x v="0"/>
  </r>
  <r>
    <n v="1624580081"/>
    <d v="2016-04-11T00:00:00"/>
    <n v="10000"/>
    <n v="6.5"/>
    <n v="6.5"/>
    <n v="0"/>
    <n v="0"/>
    <n v="0"/>
    <n v="6.5"/>
    <n v="0"/>
    <n v="0"/>
    <n v="0"/>
    <n v="172"/>
    <n v="1268"/>
    <n v="1469"/>
    <x v="0"/>
    <x v="0"/>
    <x v="0"/>
  </r>
  <r>
    <n v="1624580081"/>
    <d v="2016-04-12T00:00:00"/>
    <n v="6627"/>
    <n v="4.3099999427795401"/>
    <n v="4.3099999427795401"/>
    <n v="0"/>
    <n v="0"/>
    <n v="0"/>
    <n v="4.3099999427795401"/>
    <n v="0"/>
    <n v="0"/>
    <n v="0"/>
    <n v="89"/>
    <n v="604"/>
    <n v="706"/>
    <x v="0"/>
    <x v="0"/>
    <x v="0"/>
  </r>
  <r>
    <n v="1644430081"/>
    <d v="2016-04-01T00:00:00"/>
    <n v="4636"/>
    <n v="3.4100000858306898"/>
    <n v="3.4100000858306898"/>
    <n v="0"/>
    <n v="0"/>
    <n v="0.77999997138977095"/>
    <n v="2.5999999046325701"/>
    <n v="2.9999999329447701E-2"/>
    <n v="0"/>
    <n v="16"/>
    <n v="586"/>
    <n v="838"/>
    <n v="3323"/>
    <x v="0"/>
    <x v="0"/>
    <x v="0"/>
  </r>
  <r>
    <n v="1644430081"/>
    <d v="2016-04-02T00:00:00"/>
    <n v="20237"/>
    <n v="14.710000038146999"/>
    <n v="14.710000038146999"/>
    <n v="0"/>
    <n v="2.5699999332428001"/>
    <n v="6.4000000953674299"/>
    <n v="5.7300000190734899"/>
    <n v="9.9999997764825804E-3"/>
    <n v="34"/>
    <n v="141"/>
    <n v="347"/>
    <n v="918"/>
    <n v="4029"/>
    <x v="0"/>
    <x v="1"/>
    <x v="0"/>
  </r>
  <r>
    <n v="1644430081"/>
    <d v="2016-04-03T00:00:00"/>
    <n v="12912"/>
    <n v="9.4099998474121094"/>
    <n v="9.4099998474121094"/>
    <n v="0"/>
    <n v="4.8299999237060502"/>
    <n v="0.769999980926514"/>
    <n v="3.78999996185303"/>
    <n v="2.9999999329447701E-2"/>
    <n v="59"/>
    <n v="16"/>
    <n v="283"/>
    <n v="1082"/>
    <n v="3436"/>
    <x v="0"/>
    <x v="1"/>
    <x v="0"/>
  </r>
  <r>
    <n v="1644430081"/>
    <d v="2016-04-04T00:00:00"/>
    <n v="2819"/>
    <n v="2.0499999523162802"/>
    <n v="2.0499999523162802"/>
    <n v="0"/>
    <n v="0.31000000238418601"/>
    <n v="0.17000000178813901"/>
    <n v="1.5599999427795399"/>
    <n v="9.9999997764825804E-3"/>
    <n v="4"/>
    <n v="4"/>
    <n v="87"/>
    <n v="1345"/>
    <n v="2444"/>
    <x v="0"/>
    <x v="0"/>
    <x v="0"/>
  </r>
  <r>
    <n v="1644430081"/>
    <d v="2016-04-05T00:00:00"/>
    <n v="9921"/>
    <n v="7.21000003814697"/>
    <n v="7.21000003814697"/>
    <n v="0"/>
    <n v="0.34000000357627902"/>
    <n v="1.5199999809265099"/>
    <n v="5.3600001335143999"/>
    <n v="0"/>
    <n v="5"/>
    <n v="35"/>
    <n v="219"/>
    <n v="1181"/>
    <n v="3098"/>
    <x v="0"/>
    <x v="0"/>
    <x v="0"/>
  </r>
  <r>
    <n v="1644430081"/>
    <d v="2016-04-06T00:00:00"/>
    <n v="8046"/>
    <n v="5.8499999046325701"/>
    <n v="5.8499999046325701"/>
    <n v="0"/>
    <n v="1.28999996185303"/>
    <n v="2.1199998855590798"/>
    <n v="2.4500000476837198"/>
    <n v="0"/>
    <n v="18"/>
    <n v="41"/>
    <n v="137"/>
    <n v="1244"/>
    <n v="2925"/>
    <x v="0"/>
    <x v="0"/>
    <x v="0"/>
  </r>
  <r>
    <n v="1644430081"/>
    <d v="2016-04-07T00:00:00"/>
    <n v="11166"/>
    <n v="8.1199998855590803"/>
    <n v="8.1199998855590803"/>
    <n v="0"/>
    <n v="0.20999999344348899"/>
    <n v="2.4100000858306898"/>
    <n v="5.5"/>
    <n v="0"/>
    <n v="3"/>
    <n v="58"/>
    <n v="230"/>
    <n v="1149"/>
    <n v="3202"/>
    <x v="0"/>
    <x v="0"/>
    <x v="0"/>
  </r>
  <r>
    <n v="1644430081"/>
    <d v="2016-04-08T00:00:00"/>
    <n v="7842"/>
    <n v="5.6999998092651403"/>
    <n v="5.6999998092651403"/>
    <n v="0"/>
    <n v="0.479999989271164"/>
    <n v="2.4100000858306898"/>
    <n v="2.8099999427795401"/>
    <n v="0"/>
    <n v="7"/>
    <n v="43"/>
    <n v="161"/>
    <n v="1229"/>
    <n v="2928"/>
    <x v="0"/>
    <x v="0"/>
    <x v="0"/>
  </r>
  <r>
    <n v="1644430081"/>
    <d v="2016-04-09T00:00:00"/>
    <n v="13840"/>
    <n v="10.060000419616699"/>
    <n v="10.060000419616699"/>
    <n v="0"/>
    <n v="1.3099999427795399"/>
    <n v="3.7200000286102299"/>
    <n v="5.0300002098083496"/>
    <n v="0"/>
    <n v="18"/>
    <n v="81"/>
    <n v="192"/>
    <n v="1149"/>
    <n v="3290"/>
    <x v="0"/>
    <x v="1"/>
    <x v="0"/>
  </r>
  <r>
    <n v="1644430081"/>
    <d v="2016-04-10T00:00:00"/>
    <n v="1329"/>
    <n v="0.97000002861022905"/>
    <n v="0.97000002861022905"/>
    <n v="0"/>
    <n v="0"/>
    <n v="0"/>
    <n v="0.97000002861022905"/>
    <n v="0"/>
    <n v="0"/>
    <n v="0"/>
    <n v="35"/>
    <n v="207"/>
    <n v="489"/>
    <x v="0"/>
    <x v="1"/>
    <x v="0"/>
  </r>
  <r>
    <n v="1844505072"/>
    <d v="2016-04-01T00:00:00"/>
    <n v="6847"/>
    <n v="4.5300002098083496"/>
    <n v="4.5300002098083496"/>
    <n v="0"/>
    <n v="0.61000001430511497"/>
    <n v="0.37000000476837203"/>
    <n v="3.5499999523162802"/>
    <n v="0"/>
    <n v="9"/>
    <n v="9"/>
    <n v="251"/>
    <n v="1171"/>
    <n v="1969"/>
    <x v="0"/>
    <x v="0"/>
    <x v="0"/>
  </r>
  <r>
    <n v="1844505072"/>
    <d v="2016-04-02T00:00:00"/>
    <n v="5367"/>
    <n v="3.5499999523162802"/>
    <n v="3.5499999523162802"/>
    <n v="0"/>
    <n v="0"/>
    <n v="0"/>
    <n v="3.5499999523162802"/>
    <n v="0"/>
    <n v="0"/>
    <n v="0"/>
    <n v="263"/>
    <n v="1177"/>
    <n v="1889"/>
    <x v="0"/>
    <x v="1"/>
    <x v="0"/>
  </r>
  <r>
    <n v="1844505072"/>
    <d v="2016-04-03T00:00:00"/>
    <n v="2841"/>
    <n v="1.87999999523163"/>
    <n v="1.87999999523163"/>
    <n v="0"/>
    <n v="0"/>
    <n v="0"/>
    <n v="1.87999999523163"/>
    <n v="0"/>
    <n v="0"/>
    <n v="0"/>
    <n v="136"/>
    <n v="1114"/>
    <n v="1636"/>
    <x v="0"/>
    <x v="1"/>
    <x v="0"/>
  </r>
  <r>
    <n v="1844505072"/>
    <d v="2016-04-04T00:00:00"/>
    <n v="0"/>
    <n v="0"/>
    <n v="0"/>
    <n v="0"/>
    <n v="0"/>
    <n v="0"/>
    <n v="0"/>
    <n v="0"/>
    <n v="0"/>
    <n v="0"/>
    <n v="0"/>
    <n v="669"/>
    <n v="1347"/>
    <x v="0"/>
    <x v="0"/>
    <x v="0"/>
  </r>
  <r>
    <n v="1844505072"/>
    <d v="2016-04-05T00:00:00"/>
    <n v="0"/>
    <n v="0"/>
    <n v="0"/>
    <n v="0"/>
    <n v="0"/>
    <n v="0"/>
    <n v="0"/>
    <n v="0"/>
    <n v="0"/>
    <n v="0"/>
    <n v="0"/>
    <n v="1440"/>
    <n v="1347"/>
    <x v="0"/>
    <x v="0"/>
    <x v="0"/>
  </r>
  <r>
    <n v="1844505072"/>
    <d v="2016-04-06T00:00:00"/>
    <n v="7"/>
    <n v="0"/>
    <n v="0"/>
    <n v="0"/>
    <n v="0"/>
    <n v="0"/>
    <n v="0"/>
    <n v="0"/>
    <n v="0"/>
    <n v="0"/>
    <n v="1"/>
    <n v="1439"/>
    <n v="1349"/>
    <x v="0"/>
    <x v="0"/>
    <x v="0"/>
  </r>
  <r>
    <n v="1844505072"/>
    <d v="2016-04-07T00:00:00"/>
    <n v="6344"/>
    <n v="4.1900000572204599"/>
    <n v="4.1900000572204599"/>
    <n v="0"/>
    <n v="0"/>
    <n v="0"/>
    <n v="4.1900000572204599"/>
    <n v="0"/>
    <n v="0"/>
    <n v="0"/>
    <n v="290"/>
    <n v="1150"/>
    <n v="1965"/>
    <x v="0"/>
    <x v="0"/>
    <x v="0"/>
  </r>
  <r>
    <n v="1844505072"/>
    <d v="2016-04-08T00:00:00"/>
    <n v="5316"/>
    <n v="3.5099999904632599"/>
    <n v="3.5099999904632599"/>
    <n v="0"/>
    <n v="0"/>
    <n v="0"/>
    <n v="3.5099999904632599"/>
    <n v="0"/>
    <n v="0"/>
    <n v="0"/>
    <n v="221"/>
    <n v="1219"/>
    <n v="1824"/>
    <x v="0"/>
    <x v="0"/>
    <x v="0"/>
  </r>
  <r>
    <n v="1844505072"/>
    <d v="2016-04-09T00:00:00"/>
    <n v="4979"/>
    <n v="3.28999996185303"/>
    <n v="3.28999996185303"/>
    <n v="0"/>
    <n v="0"/>
    <n v="0"/>
    <n v="3.28999996185303"/>
    <n v="0"/>
    <n v="0"/>
    <n v="0"/>
    <n v="184"/>
    <n v="620"/>
    <n v="1807"/>
    <x v="0"/>
    <x v="1"/>
    <x v="0"/>
  </r>
  <r>
    <n v="1844505072"/>
    <d v="2016-04-10T00:00:00"/>
    <n v="6556"/>
    <n v="4.3400001525878897"/>
    <n v="4.3400001525878897"/>
    <n v="0"/>
    <n v="0"/>
    <n v="0"/>
    <n v="4.3299999237060502"/>
    <n v="0"/>
    <n v="0"/>
    <n v="0"/>
    <n v="305"/>
    <n v="810"/>
    <n v="1971"/>
    <x v="0"/>
    <x v="1"/>
    <x v="0"/>
  </r>
  <r>
    <n v="1844505072"/>
    <d v="2016-04-11T00:00:00"/>
    <n v="5430"/>
    <n v="3.5899999141693102"/>
    <n v="3.5899999141693102"/>
    <n v="0"/>
    <n v="0"/>
    <n v="0"/>
    <n v="3.5899999141693102"/>
    <n v="0"/>
    <n v="0"/>
    <n v="0"/>
    <n v="251"/>
    <n v="1189"/>
    <n v="1888"/>
    <x v="0"/>
    <x v="0"/>
    <x v="0"/>
  </r>
  <r>
    <n v="1844505072"/>
    <d v="2016-04-12T00:00:00"/>
    <n v="0"/>
    <n v="0"/>
    <n v="0"/>
    <n v="0"/>
    <n v="0"/>
    <n v="0"/>
    <n v="0"/>
    <n v="0"/>
    <n v="0"/>
    <n v="0"/>
    <n v="0"/>
    <n v="426"/>
    <n v="399"/>
    <x v="0"/>
    <x v="0"/>
    <x v="0"/>
  </r>
  <r>
    <n v="1927972279"/>
    <d v="2016-04-01T00:00:00"/>
    <n v="4317"/>
    <n v="2.9900000095367401"/>
    <n v="2.9900000095367401"/>
    <n v="0"/>
    <n v="0"/>
    <n v="0.37000000476837203"/>
    <n v="2.6199998855590798"/>
    <n v="0"/>
    <n v="0"/>
    <n v="11"/>
    <n v="192"/>
    <n v="854"/>
    <n v="2590"/>
    <x v="0"/>
    <x v="0"/>
    <x v="0"/>
  </r>
  <r>
    <n v="1927972279"/>
    <d v="2016-04-02T00:00:00"/>
    <n v="5662"/>
    <n v="3.9200000762939502"/>
    <n v="3.9200000762939502"/>
    <n v="0"/>
    <n v="0"/>
    <n v="0"/>
    <n v="3.9200000762939502"/>
    <n v="0"/>
    <n v="0"/>
    <n v="0"/>
    <n v="267"/>
    <n v="858"/>
    <n v="2783"/>
    <x v="0"/>
    <x v="1"/>
    <x v="0"/>
  </r>
  <r>
    <n v="1927972279"/>
    <d v="2016-04-03T00:00:00"/>
    <n v="3198"/>
    <n v="2.21000003814697"/>
    <n v="2.21000003814697"/>
    <n v="0"/>
    <n v="0"/>
    <n v="0"/>
    <n v="2.21000003814697"/>
    <n v="0"/>
    <n v="0"/>
    <n v="0"/>
    <n v="146"/>
    <n v="1183"/>
    <n v="2449"/>
    <x v="0"/>
    <x v="1"/>
    <x v="0"/>
  </r>
  <r>
    <n v="1927972279"/>
    <d v="2016-04-04T00:00:00"/>
    <n v="2352"/>
    <n v="1.62999999523163"/>
    <n v="1.62999999523163"/>
    <n v="0"/>
    <n v="0"/>
    <n v="0"/>
    <n v="1.62999999523163"/>
    <n v="0"/>
    <n v="0"/>
    <n v="0"/>
    <n v="128"/>
    <n v="829"/>
    <n v="2380"/>
    <x v="0"/>
    <x v="0"/>
    <x v="0"/>
  </r>
  <r>
    <n v="1927972279"/>
    <d v="2016-04-05T00:00:00"/>
    <n v="2234"/>
    <n v="1.54999995231628"/>
    <n v="1.54999995231628"/>
    <n v="0"/>
    <n v="0"/>
    <n v="0"/>
    <n v="1.54999995231628"/>
    <n v="0"/>
    <n v="0"/>
    <n v="0"/>
    <n v="108"/>
    <n v="912"/>
    <n v="2344"/>
    <x v="0"/>
    <x v="0"/>
    <x v="0"/>
  </r>
  <r>
    <n v="1927972279"/>
    <d v="2016-04-06T00:00:00"/>
    <n v="1259"/>
    <n v="0.87000000476837203"/>
    <n v="0.87000000476837203"/>
    <n v="0"/>
    <n v="0"/>
    <n v="0"/>
    <n v="0.87000000476837203"/>
    <n v="0"/>
    <n v="0"/>
    <n v="0"/>
    <n v="73"/>
    <n v="938"/>
    <n v="2202"/>
    <x v="0"/>
    <x v="0"/>
    <x v="0"/>
  </r>
  <r>
    <n v="1927972279"/>
    <d v="2016-04-07T00:00:00"/>
    <n v="768"/>
    <n v="0.52999997138977095"/>
    <n v="0.52999997138977095"/>
    <n v="0"/>
    <n v="0"/>
    <n v="0"/>
    <n v="0.52999997138977095"/>
    <n v="0"/>
    <n v="0"/>
    <n v="0"/>
    <n v="43"/>
    <n v="1397"/>
    <n v="2130"/>
    <x v="0"/>
    <x v="0"/>
    <x v="0"/>
  </r>
  <r>
    <n v="1927972279"/>
    <d v="2016-04-08T00:00:00"/>
    <n v="519"/>
    <n v="0.36000001430511502"/>
    <n v="0.36000001430511502"/>
    <n v="0"/>
    <n v="0"/>
    <n v="0"/>
    <n v="0.36000001430511502"/>
    <n v="0"/>
    <n v="0"/>
    <n v="0"/>
    <n v="34"/>
    <n v="1406"/>
    <n v="2088"/>
    <x v="0"/>
    <x v="0"/>
    <x v="0"/>
  </r>
  <r>
    <n v="1927972279"/>
    <d v="2016-04-09T00:00:00"/>
    <n v="2523"/>
    <n v="1.75"/>
    <n v="1.75"/>
    <n v="0"/>
    <n v="0"/>
    <n v="0.37000000476837203"/>
    <n v="1.37999999523163"/>
    <n v="0"/>
    <n v="0"/>
    <n v="9"/>
    <n v="134"/>
    <n v="1250"/>
    <n v="2443"/>
    <x v="0"/>
    <x v="1"/>
    <x v="0"/>
  </r>
  <r>
    <n v="1927972279"/>
    <d v="2016-04-10T00:00:00"/>
    <n v="2105"/>
    <n v="1.46000003814697"/>
    <n v="1.46000003814697"/>
    <n v="0"/>
    <n v="0"/>
    <n v="0"/>
    <n v="1.46000003814697"/>
    <n v="0"/>
    <n v="0"/>
    <n v="0"/>
    <n v="139"/>
    <n v="805"/>
    <n v="2442"/>
    <x v="0"/>
    <x v="1"/>
    <x v="0"/>
  </r>
  <r>
    <n v="1927972279"/>
    <d v="2016-04-11T00:00:00"/>
    <n v="1209"/>
    <n v="0.83999997377395597"/>
    <n v="0.83999997377395597"/>
    <n v="0"/>
    <n v="0"/>
    <n v="0"/>
    <n v="0.83999997377395597"/>
    <n v="0"/>
    <n v="0"/>
    <n v="0"/>
    <n v="73"/>
    <n v="842"/>
    <n v="2255"/>
    <x v="0"/>
    <x v="0"/>
    <x v="0"/>
  </r>
  <r>
    <n v="1927972279"/>
    <d v="2016-04-12T00:00:00"/>
    <n v="24"/>
    <n v="1.9999999552965199E-2"/>
    <n v="1.9999999552965199E-2"/>
    <n v="0"/>
    <n v="0"/>
    <n v="0"/>
    <n v="1.9999999552965199E-2"/>
    <n v="0"/>
    <n v="0"/>
    <n v="0"/>
    <n v="3"/>
    <n v="161"/>
    <n v="942"/>
    <x v="0"/>
    <x v="0"/>
    <x v="0"/>
  </r>
  <r>
    <n v="2022484408"/>
    <d v="2016-04-01T00:00:00"/>
    <n v="13603"/>
    <n v="9.6000003814697301"/>
    <n v="9.6000003814697301"/>
    <n v="0"/>
    <n v="5.46000003814697"/>
    <n v="0.62999999523162797"/>
    <n v="3.5099999904632599"/>
    <n v="0"/>
    <n v="72"/>
    <n v="16"/>
    <n v="213"/>
    <n v="1139"/>
    <n v="2645"/>
    <x v="0"/>
    <x v="0"/>
    <x v="0"/>
  </r>
  <r>
    <n v="2022484408"/>
    <d v="2016-04-02T00:00:00"/>
    <n v="5477"/>
    <n v="3.8399999141693102"/>
    <n v="3.8399999141693102"/>
    <n v="0"/>
    <n v="0"/>
    <n v="0"/>
    <n v="3.8399999141693102"/>
    <n v="0"/>
    <n v="0"/>
    <n v="0"/>
    <n v="237"/>
    <n v="1203"/>
    <n v="2040"/>
    <x v="0"/>
    <x v="1"/>
    <x v="0"/>
  </r>
  <r>
    <n v="2022484408"/>
    <d v="2016-04-03T00:00:00"/>
    <n v="11144"/>
    <n v="7.8200001716613796"/>
    <n v="7.8200001716613796"/>
    <n v="0"/>
    <n v="1.78999996185303"/>
    <n v="0.88999998569488503"/>
    <n v="5.1399998664856001"/>
    <n v="0"/>
    <n v="25"/>
    <n v="22"/>
    <n v="279"/>
    <n v="1114"/>
    <n v="2395"/>
    <x v="0"/>
    <x v="1"/>
    <x v="0"/>
  </r>
  <r>
    <n v="2022484408"/>
    <d v="2016-04-04T00:00:00"/>
    <n v="15313"/>
    <n v="11"/>
    <n v="11"/>
    <n v="0"/>
    <n v="5.0199999809265101"/>
    <n v="1.28999996185303"/>
    <n v="4.6900000572204599"/>
    <n v="0"/>
    <n v="62"/>
    <n v="19"/>
    <n v="233"/>
    <n v="1126"/>
    <n v="2581"/>
    <x v="0"/>
    <x v="0"/>
    <x v="0"/>
  </r>
  <r>
    <n v="2022484408"/>
    <d v="2016-04-05T00:00:00"/>
    <n v="10805"/>
    <n v="7.5900001525878897"/>
    <n v="7.5900001525878897"/>
    <n v="0"/>
    <n v="0.72000002861022905"/>
    <n v="0.980000019073486"/>
    <n v="5.8899998664856001"/>
    <n v="0"/>
    <n v="36"/>
    <n v="37"/>
    <n v="298"/>
    <n v="1069"/>
    <n v="2735"/>
    <x v="0"/>
    <x v="0"/>
    <x v="0"/>
  </r>
  <r>
    <n v="2022484408"/>
    <d v="2016-04-06T00:00:00"/>
    <n v="15392"/>
    <n v="10.930000305175801"/>
    <n v="10.930000305175801"/>
    <n v="0"/>
    <n v="3.4300000667571999"/>
    <n v="1.75"/>
    <n v="5.75"/>
    <n v="0"/>
    <n v="47"/>
    <n v="42"/>
    <n v="258"/>
    <n v="1093"/>
    <n v="2733"/>
    <x v="0"/>
    <x v="0"/>
    <x v="0"/>
  </r>
  <r>
    <n v="2022484408"/>
    <d v="2016-04-07T00:00:00"/>
    <n v="18247"/>
    <n v="13.829999923706101"/>
    <n v="13.829999923706101"/>
    <n v="0"/>
    <n v="7.1100001335143999"/>
    <n v="2.21000003814697"/>
    <n v="4.5100002288818404"/>
    <n v="0"/>
    <n v="72"/>
    <n v="62"/>
    <n v="252"/>
    <n v="1054"/>
    <n v="3021"/>
    <x v="0"/>
    <x v="0"/>
    <x v="0"/>
  </r>
  <r>
    <n v="2022484408"/>
    <d v="2016-04-08T00:00:00"/>
    <n v="13023"/>
    <n v="9.2600002288818395"/>
    <n v="9.2600002288818395"/>
    <n v="0"/>
    <n v="3.2300000190734899"/>
    <n v="0.56000000238418601"/>
    <n v="5.4699997901916504"/>
    <n v="0"/>
    <n v="40"/>
    <n v="12"/>
    <n v="296"/>
    <n v="1092"/>
    <n v="2577"/>
    <x v="0"/>
    <x v="0"/>
    <x v="0"/>
  </r>
  <r>
    <n v="2022484408"/>
    <d v="2016-04-09T00:00:00"/>
    <n v="16267"/>
    <n v="12.5900001525879"/>
    <n v="12.5900001525879"/>
    <n v="0"/>
    <n v="5.75"/>
    <n v="0.46999999880790699"/>
    <n v="6.3699998855590803"/>
    <n v="0"/>
    <n v="44"/>
    <n v="16"/>
    <n v="302"/>
    <n v="1078"/>
    <n v="2811"/>
    <x v="0"/>
    <x v="1"/>
    <x v="0"/>
  </r>
  <r>
    <n v="2022484408"/>
    <d v="2016-04-10T00:00:00"/>
    <n v="10005"/>
    <n v="7.0199999809265101"/>
    <n v="7.0199999809265101"/>
    <n v="0"/>
    <n v="7.9999998211860698E-2"/>
    <n v="1.04999995231628"/>
    <n v="5.9000000953674299"/>
    <n v="0"/>
    <n v="1"/>
    <n v="23"/>
    <n v="339"/>
    <n v="1077"/>
    <n v="2458"/>
    <x v="0"/>
    <x v="1"/>
    <x v="0"/>
  </r>
  <r>
    <n v="2022484408"/>
    <d v="2016-04-11T00:00:00"/>
    <n v="10106"/>
    <n v="7.0900001525878897"/>
    <n v="7.0900001525878897"/>
    <n v="0"/>
    <n v="1.21000003814697"/>
    <n v="0.56000000238418601"/>
    <n v="5.3299999237060502"/>
    <n v="0"/>
    <n v="41"/>
    <n v="16"/>
    <n v="272"/>
    <n v="1111"/>
    <n v="2568"/>
    <x v="0"/>
    <x v="0"/>
    <x v="0"/>
  </r>
  <r>
    <n v="2022484408"/>
    <d v="2016-04-12T00:00:00"/>
    <n v="6717"/>
    <n v="4.7199997901916504"/>
    <n v="4.7199997901916504"/>
    <n v="0"/>
    <n v="3.2300000190734899"/>
    <n v="0.21999999880790699"/>
    <n v="1.2699999809265099"/>
    <n v="0"/>
    <n v="41"/>
    <n v="5"/>
    <n v="67"/>
    <n v="551"/>
    <n v="1140"/>
    <x v="0"/>
    <x v="0"/>
    <x v="0"/>
  </r>
  <r>
    <n v="2026352035"/>
    <d v="2016-04-01T00:00:00"/>
    <n v="2605"/>
    <n v="1.62000000476837"/>
    <n v="1.62000000476837"/>
    <n v="0"/>
    <n v="0"/>
    <n v="0"/>
    <n v="1.62000000476837"/>
    <n v="0"/>
    <n v="0"/>
    <n v="0"/>
    <n v="166"/>
    <n v="729"/>
    <n v="1407"/>
    <x v="0"/>
    <x v="0"/>
    <x v="0"/>
  </r>
  <r>
    <n v="2026352035"/>
    <d v="2016-04-02T00:00:00"/>
    <n v="1229"/>
    <n v="0.75999999046325695"/>
    <n v="0.75999999046325695"/>
    <n v="0"/>
    <n v="0"/>
    <n v="0"/>
    <n v="0.75999999046325695"/>
    <n v="0"/>
    <n v="0"/>
    <n v="0"/>
    <n v="69"/>
    <n v="795"/>
    <n v="1237"/>
    <x v="0"/>
    <x v="1"/>
    <x v="0"/>
  </r>
  <r>
    <n v="2026352035"/>
    <d v="2016-04-03T00:00:00"/>
    <n v="2308"/>
    <n v="1.4299999475479099"/>
    <n v="1.4299999475479099"/>
    <n v="0"/>
    <n v="0"/>
    <n v="0"/>
    <n v="1.4299999475479099"/>
    <n v="0"/>
    <n v="0"/>
    <n v="0"/>
    <n v="115"/>
    <n v="720"/>
    <n v="1330"/>
    <x v="0"/>
    <x v="1"/>
    <x v="0"/>
  </r>
  <r>
    <n v="2026352035"/>
    <d v="2016-04-04T00:00:00"/>
    <n v="6679"/>
    <n v="4.1399998664856001"/>
    <n v="4.1399998664856001"/>
    <n v="0"/>
    <n v="0"/>
    <n v="0"/>
    <n v="4.1399998664856001"/>
    <n v="0"/>
    <n v="0"/>
    <n v="0"/>
    <n v="263"/>
    <n v="644"/>
    <n v="1583"/>
    <x v="0"/>
    <x v="0"/>
    <x v="0"/>
  </r>
  <r>
    <n v="2026352035"/>
    <d v="2016-04-05T00:00:00"/>
    <n v="5645"/>
    <n v="3.5"/>
    <n v="3.5"/>
    <n v="0"/>
    <n v="0"/>
    <n v="0"/>
    <n v="3.5"/>
    <n v="0"/>
    <n v="0"/>
    <n v="0"/>
    <n v="248"/>
    <n v="621"/>
    <n v="1538"/>
    <x v="0"/>
    <x v="0"/>
    <x v="0"/>
  </r>
  <r>
    <n v="2026352035"/>
    <d v="2016-04-06T00:00:00"/>
    <n v="3180"/>
    <n v="1.9700000286102299"/>
    <n v="1.9700000286102299"/>
    <n v="0"/>
    <n v="0"/>
    <n v="0"/>
    <n v="1.9700000286102299"/>
    <n v="0"/>
    <n v="0"/>
    <n v="0"/>
    <n v="185"/>
    <n v="738"/>
    <n v="1421"/>
    <x v="0"/>
    <x v="0"/>
    <x v="0"/>
  </r>
  <r>
    <n v="2026352035"/>
    <d v="2016-04-07T00:00:00"/>
    <n v="2767"/>
    <n v="1.7200000286102299"/>
    <n v="1.7200000286102299"/>
    <n v="0"/>
    <n v="0"/>
    <n v="0"/>
    <n v="1.7200000286102299"/>
    <n v="0"/>
    <n v="0"/>
    <n v="0"/>
    <n v="170"/>
    <n v="673"/>
    <n v="1392"/>
    <x v="0"/>
    <x v="0"/>
    <x v="0"/>
  </r>
  <r>
    <n v="2026352035"/>
    <d v="2016-04-08T00:00:00"/>
    <n v="3762"/>
    <n v="2.3299999237060498"/>
    <n v="2.3299999237060498"/>
    <n v="0"/>
    <n v="0"/>
    <n v="0"/>
    <n v="2.3299999237060498"/>
    <n v="0"/>
    <n v="0"/>
    <n v="0"/>
    <n v="173"/>
    <n v="719"/>
    <n v="1425"/>
    <x v="0"/>
    <x v="0"/>
    <x v="0"/>
  </r>
  <r>
    <n v="2026352035"/>
    <d v="2016-04-09T00:00:00"/>
    <n v="3098"/>
    <n v="1.91999995708466"/>
    <n v="1.91999995708466"/>
    <n v="0"/>
    <n v="0"/>
    <n v="0"/>
    <n v="1.91999995708466"/>
    <n v="0"/>
    <n v="0"/>
    <n v="0"/>
    <n v="185"/>
    <n v="700"/>
    <n v="1413"/>
    <x v="0"/>
    <x v="1"/>
    <x v="0"/>
  </r>
  <r>
    <n v="2026352035"/>
    <d v="2016-04-10T00:00:00"/>
    <n v="5142"/>
    <n v="3.1900000572204599"/>
    <n v="3.1900000572204599"/>
    <n v="0"/>
    <n v="0"/>
    <n v="0"/>
    <n v="3.1900000572204599"/>
    <n v="0"/>
    <n v="0"/>
    <n v="0"/>
    <n v="230"/>
    <n v="654"/>
    <n v="1515"/>
    <x v="0"/>
    <x v="1"/>
    <x v="0"/>
  </r>
  <r>
    <n v="2026352035"/>
    <d v="2016-04-11T00:00:00"/>
    <n v="3279"/>
    <n v="2.0299999713897701"/>
    <n v="2.0299999713897701"/>
    <n v="0"/>
    <n v="0"/>
    <n v="0"/>
    <n v="2.0299999713897701"/>
    <n v="0"/>
    <n v="0"/>
    <n v="0"/>
    <n v="164"/>
    <n v="694"/>
    <n v="1405"/>
    <x v="0"/>
    <x v="0"/>
    <x v="0"/>
  </r>
  <r>
    <n v="2026352035"/>
    <d v="2016-04-12T00:00:00"/>
    <n v="1019"/>
    <n v="0.62999999523162797"/>
    <n v="0.62999999523162797"/>
    <n v="0"/>
    <n v="0"/>
    <n v="0"/>
    <n v="0.62999999523162797"/>
    <n v="0"/>
    <n v="0"/>
    <n v="0"/>
    <n v="64"/>
    <n v="223"/>
    <n v="600"/>
    <x v="0"/>
    <x v="0"/>
    <x v="0"/>
  </r>
  <r>
    <n v="2320127002"/>
    <d v="2016-04-01T00:00:00"/>
    <n v="0"/>
    <n v="0"/>
    <n v="0"/>
    <n v="0"/>
    <n v="0"/>
    <n v="0"/>
    <n v="0"/>
    <n v="0"/>
    <n v="0"/>
    <n v="0"/>
    <n v="0"/>
    <n v="1440"/>
    <n v="1324"/>
    <x v="0"/>
    <x v="0"/>
    <x v="0"/>
  </r>
  <r>
    <n v="2320127002"/>
    <d v="2016-04-02T00:00:00"/>
    <n v="0"/>
    <n v="0"/>
    <n v="0"/>
    <n v="0"/>
    <n v="0"/>
    <n v="0"/>
    <n v="0"/>
    <n v="0"/>
    <n v="0"/>
    <n v="0"/>
    <n v="0"/>
    <n v="1440"/>
    <n v="1324"/>
    <x v="0"/>
    <x v="1"/>
    <x v="0"/>
  </r>
  <r>
    <n v="2320127002"/>
    <d v="2016-04-03T00:00:00"/>
    <n v="0"/>
    <n v="0"/>
    <n v="0"/>
    <n v="0"/>
    <n v="0"/>
    <n v="0"/>
    <n v="0"/>
    <n v="0"/>
    <n v="0"/>
    <n v="0"/>
    <n v="0"/>
    <n v="1440"/>
    <n v="1324"/>
    <x v="0"/>
    <x v="1"/>
    <x v="0"/>
  </r>
  <r>
    <n v="2320127002"/>
    <d v="2016-04-04T00:00:00"/>
    <n v="0"/>
    <n v="0"/>
    <n v="0"/>
    <n v="0"/>
    <n v="0"/>
    <n v="0"/>
    <n v="0"/>
    <n v="0"/>
    <n v="0"/>
    <n v="0"/>
    <n v="0"/>
    <n v="1440"/>
    <n v="1324"/>
    <x v="0"/>
    <x v="0"/>
    <x v="0"/>
  </r>
  <r>
    <n v="2320127002"/>
    <d v="2016-04-05T00:00:00"/>
    <n v="4931"/>
    <n v="3.3199999332428001"/>
    <n v="3.3199999332428001"/>
    <n v="0"/>
    <n v="0"/>
    <n v="0"/>
    <n v="3.3199999332428001"/>
    <n v="0"/>
    <n v="0"/>
    <n v="0"/>
    <n v="175"/>
    <n v="1265"/>
    <n v="1708"/>
    <x v="0"/>
    <x v="0"/>
    <x v="0"/>
  </r>
  <r>
    <n v="2320127002"/>
    <d v="2016-04-06T00:00:00"/>
    <n v="6999"/>
    <n v="4.7199997901916504"/>
    <n v="4.7199997901916504"/>
    <n v="0"/>
    <n v="0"/>
    <n v="0"/>
    <n v="4.7199997901916504"/>
    <n v="0"/>
    <n v="0"/>
    <n v="0"/>
    <n v="320"/>
    <n v="1120"/>
    <n v="1950"/>
    <x v="0"/>
    <x v="0"/>
    <x v="0"/>
  </r>
  <r>
    <n v="2320127002"/>
    <d v="2016-04-07T00:00:00"/>
    <n v="1846"/>
    <n v="1.2400000095367401"/>
    <n v="1.2400000095367401"/>
    <n v="0"/>
    <n v="0"/>
    <n v="0"/>
    <n v="1.2400000095367401"/>
    <n v="0"/>
    <n v="0"/>
    <n v="0"/>
    <n v="93"/>
    <n v="1347"/>
    <n v="1508"/>
    <x v="0"/>
    <x v="0"/>
    <x v="0"/>
  </r>
  <r>
    <n v="2320127002"/>
    <d v="2016-04-08T00:00:00"/>
    <n v="3417"/>
    <n v="2.2999999523162802"/>
    <n v="2.2999999523162802"/>
    <n v="0"/>
    <n v="0"/>
    <n v="0"/>
    <n v="2.2999999523162802"/>
    <n v="0"/>
    <n v="0"/>
    <n v="0"/>
    <n v="153"/>
    <n v="1287"/>
    <n v="1625"/>
    <x v="0"/>
    <x v="0"/>
    <x v="0"/>
  </r>
  <r>
    <n v="2320127002"/>
    <d v="2016-04-09T00:00:00"/>
    <n v="4863"/>
    <n v="3.2799999713897701"/>
    <n v="3.2799999713897701"/>
    <n v="0"/>
    <n v="5.9999998658895499E-2"/>
    <n v="0.41999998688697798"/>
    <n v="2.7999999523162802"/>
    <n v="0"/>
    <n v="1"/>
    <n v="11"/>
    <n v="208"/>
    <n v="1220"/>
    <n v="1772"/>
    <x v="0"/>
    <x v="1"/>
    <x v="0"/>
  </r>
  <r>
    <n v="2320127002"/>
    <d v="2016-04-10T00:00:00"/>
    <n v="2277"/>
    <n v="1.5299999713897701"/>
    <n v="1.5299999713897701"/>
    <n v="0"/>
    <n v="0"/>
    <n v="0"/>
    <n v="1.5299999713897701"/>
    <n v="0"/>
    <n v="0"/>
    <n v="0"/>
    <n v="103"/>
    <n v="1337"/>
    <n v="1530"/>
    <x v="0"/>
    <x v="1"/>
    <x v="0"/>
  </r>
  <r>
    <n v="2320127002"/>
    <d v="2016-04-11T00:00:00"/>
    <n v="11230"/>
    <n v="7.6700000762939498"/>
    <n v="7.6700000762939498"/>
    <n v="0"/>
    <n v="0.88999998569488503"/>
    <n v="0.119999997317791"/>
    <n v="6.6599998474121103"/>
    <n v="0"/>
    <n v="10"/>
    <n v="2"/>
    <n v="390"/>
    <n v="1038"/>
    <n v="2206"/>
    <x v="0"/>
    <x v="0"/>
    <x v="0"/>
  </r>
  <r>
    <n v="2320127002"/>
    <d v="2016-04-12T00:00:00"/>
    <n v="2098"/>
    <n v="1.4099999666214"/>
    <n v="1.4099999666214"/>
    <n v="0"/>
    <n v="0"/>
    <n v="0"/>
    <n v="1.4099999666214"/>
    <n v="0"/>
    <n v="0"/>
    <n v="0"/>
    <n v="69"/>
    <n v="617"/>
    <n v="790"/>
    <x v="0"/>
    <x v="0"/>
    <x v="0"/>
  </r>
  <r>
    <n v="2347167796"/>
    <d v="2016-03-29T00:00:00"/>
    <n v="10272"/>
    <n v="6.78999996185303"/>
    <n v="6.78999996185303"/>
    <n v="0"/>
    <n v="0.15999999642372101"/>
    <n v="3.1199998855590798"/>
    <n v="3.5"/>
    <n v="0"/>
    <n v="2"/>
    <n v="58"/>
    <n v="208"/>
    <n v="700"/>
    <n v="2041"/>
    <x v="0"/>
    <x v="0"/>
    <x v="0"/>
  </r>
  <r>
    <n v="2347167796"/>
    <d v="2016-03-30T00:00:00"/>
    <n v="10533"/>
    <n v="7.0999999046325701"/>
    <n v="7.0999999046325701"/>
    <n v="0"/>
    <n v="1.7699999809265099"/>
    <n v="2.0599999427795401"/>
    <n v="3.2699999809265101"/>
    <n v="0"/>
    <n v="21"/>
    <n v="35"/>
    <n v="255"/>
    <n v="615"/>
    <n v="2187"/>
    <x v="0"/>
    <x v="0"/>
    <x v="0"/>
  </r>
  <r>
    <n v="2347167796"/>
    <d v="2016-03-31T00:00:00"/>
    <n v="6760"/>
    <n v="4.4699997901916504"/>
    <n v="4.4699997901916504"/>
    <n v="0"/>
    <n v="0"/>
    <n v="0"/>
    <n v="4.4699997901916504"/>
    <n v="0"/>
    <n v="0"/>
    <n v="0"/>
    <n v="250"/>
    <n v="613"/>
    <n v="1929"/>
    <x v="0"/>
    <x v="0"/>
    <x v="0"/>
  </r>
  <r>
    <n v="2347167796"/>
    <d v="2016-04-01T00:00:00"/>
    <n v="8328"/>
    <n v="5.5100002288818404"/>
    <n v="5.5100002288818404"/>
    <n v="0"/>
    <n v="0"/>
    <n v="2"/>
    <n v="3.5"/>
    <n v="0"/>
    <n v="0"/>
    <n v="33"/>
    <n v="212"/>
    <n v="804"/>
    <n v="1935"/>
    <x v="0"/>
    <x v="0"/>
    <x v="0"/>
  </r>
  <r>
    <n v="2347167796"/>
    <d v="2016-04-02T00:00:00"/>
    <n v="15459"/>
    <n v="10.2200002670288"/>
    <n v="10.2200002670288"/>
    <n v="0"/>
    <n v="3.5899999141693102"/>
    <n v="0.81000000238418601"/>
    <n v="5.8200001716613796"/>
    <n v="0"/>
    <n v="51"/>
    <n v="16"/>
    <n v="327"/>
    <n v="583"/>
    <n v="2438"/>
    <x v="0"/>
    <x v="1"/>
    <x v="0"/>
  </r>
  <r>
    <n v="2347167796"/>
    <d v="2016-04-03T00:00:00"/>
    <n v="7485"/>
    <n v="4.9499998092651403"/>
    <n v="4.9499998092651403"/>
    <n v="0"/>
    <n v="0"/>
    <n v="0"/>
    <n v="4.9499998092651403"/>
    <n v="0"/>
    <n v="0"/>
    <n v="0"/>
    <n v="324"/>
    <n v="491"/>
    <n v="2035"/>
    <x v="0"/>
    <x v="1"/>
    <x v="0"/>
  </r>
  <r>
    <n v="2347167796"/>
    <d v="2016-04-04T00:00:00"/>
    <n v="10254"/>
    <n v="6.8000001907348597"/>
    <n v="6.8000001907348597"/>
    <n v="0"/>
    <n v="1.41999995708466"/>
    <n v="1.2300000190734901"/>
    <n v="4.1599998474121103"/>
    <n v="0"/>
    <n v="21"/>
    <n v="25"/>
    <n v="231"/>
    <n v="638"/>
    <n v="2099"/>
    <x v="0"/>
    <x v="0"/>
    <x v="0"/>
  </r>
  <r>
    <n v="2347167796"/>
    <d v="2016-04-05T00:00:00"/>
    <n v="10114"/>
    <n v="6.8200001716613796"/>
    <n v="6.8200001716613796"/>
    <n v="0"/>
    <n v="1.6399999856948899"/>
    <n v="0.479999989271164"/>
    <n v="4.6799998283386204"/>
    <n v="0"/>
    <n v="18"/>
    <n v="9"/>
    <n v="269"/>
    <n v="696"/>
    <n v="2096"/>
    <x v="0"/>
    <x v="0"/>
    <x v="0"/>
  </r>
  <r>
    <n v="2347167796"/>
    <d v="2016-04-06T00:00:00"/>
    <n v="11107"/>
    <n v="7.3400001525878897"/>
    <n v="7.3400001525878897"/>
    <n v="0"/>
    <n v="0.89999997615814198"/>
    <n v="2.7599999904632599"/>
    <n v="3.6800000667571999"/>
    <n v="0"/>
    <n v="14"/>
    <n v="46"/>
    <n v="196"/>
    <n v="759"/>
    <n v="2058"/>
    <x v="0"/>
    <x v="0"/>
    <x v="0"/>
  </r>
  <r>
    <n v="2347167796"/>
    <d v="2016-04-07T00:00:00"/>
    <n v="10320"/>
    <n v="6.8499999046325701"/>
    <n v="6.8499999046325701"/>
    <n v="0"/>
    <n v="0.68000000715255704"/>
    <n v="1.2300000190734901"/>
    <n v="4.9400000572204599"/>
    <n v="0"/>
    <n v="15"/>
    <n v="32"/>
    <n v="315"/>
    <n v="1002"/>
    <n v="2338"/>
    <x v="0"/>
    <x v="0"/>
    <x v="0"/>
  </r>
  <r>
    <n v="2347167796"/>
    <d v="2016-04-08T00:00:00"/>
    <n v="10209"/>
    <n v="6.75"/>
    <n v="6.75"/>
    <n v="0"/>
    <n v="0.15999999642372101"/>
    <n v="0.34999999403953602"/>
    <n v="6.2300000190734899"/>
    <n v="0"/>
    <n v="2"/>
    <n v="6"/>
    <n v="316"/>
    <n v="711"/>
    <n v="2104"/>
    <x v="0"/>
    <x v="0"/>
    <x v="0"/>
  </r>
  <r>
    <n v="2347167796"/>
    <d v="2016-04-09T00:00:00"/>
    <n v="16081"/>
    <n v="10.6300001144409"/>
    <n v="10.6300001144409"/>
    <n v="0"/>
    <n v="1.25"/>
    <n v="1.8200000524520901"/>
    <n v="7.5599999427795401"/>
    <n v="0"/>
    <n v="16"/>
    <n v="32"/>
    <n v="401"/>
    <n v="970"/>
    <n v="2488"/>
    <x v="0"/>
    <x v="1"/>
    <x v="0"/>
  </r>
  <r>
    <n v="2347167796"/>
    <d v="2016-04-10T00:00:00"/>
    <n v="10078"/>
    <n v="6.8299999237060502"/>
    <n v="6.8299999237060502"/>
    <n v="0"/>
    <n v="1.0199999809265099"/>
    <n v="0.119999997317791"/>
    <n v="5.6900000572204599"/>
    <n v="0"/>
    <n v="12"/>
    <n v="3"/>
    <n v="303"/>
    <n v="463"/>
    <n v="2164"/>
    <x v="0"/>
    <x v="1"/>
    <x v="0"/>
  </r>
  <r>
    <n v="2347167796"/>
    <d v="2016-04-11T00:00:00"/>
    <n v="10001"/>
    <n v="6.6100001335143999"/>
    <n v="6.6100001335143999"/>
    <n v="0"/>
    <n v="0.33000001311302202"/>
    <n v="2.9300000667571999"/>
    <n v="3.3599998950958301"/>
    <n v="0"/>
    <n v="5"/>
    <n v="52"/>
    <n v="196"/>
    <n v="788"/>
    <n v="2009"/>
    <x v="0"/>
    <x v="0"/>
    <x v="0"/>
  </r>
  <r>
    <n v="2347167796"/>
    <d v="2016-04-12T00:00:00"/>
    <n v="0"/>
    <n v="0"/>
    <n v="0"/>
    <n v="0"/>
    <n v="0"/>
    <n v="0"/>
    <n v="0"/>
    <n v="0"/>
    <n v="0"/>
    <n v="0"/>
    <n v="0"/>
    <n v="425"/>
    <n v="399"/>
    <x v="0"/>
    <x v="0"/>
    <x v="0"/>
  </r>
  <r>
    <n v="2873212765"/>
    <d v="2016-04-01T00:00:00"/>
    <n v="890"/>
    <n v="0.60000002384185802"/>
    <n v="0.60000002384185802"/>
    <n v="0"/>
    <n v="0"/>
    <n v="0"/>
    <n v="0.60000002384185802"/>
    <n v="0"/>
    <n v="0"/>
    <n v="0"/>
    <n v="41"/>
    <n v="1399"/>
    <n v="1335"/>
    <x v="0"/>
    <x v="0"/>
    <x v="0"/>
  </r>
  <r>
    <n v="2873212765"/>
    <d v="2016-04-02T00:00:00"/>
    <n v="2214"/>
    <n v="1.4900000095367401"/>
    <n v="1.4900000095367401"/>
    <n v="0"/>
    <n v="0"/>
    <n v="0"/>
    <n v="1.4900000095367401"/>
    <n v="0"/>
    <n v="0"/>
    <n v="0"/>
    <n v="197"/>
    <n v="1243"/>
    <n v="1559"/>
    <x v="0"/>
    <x v="1"/>
    <x v="0"/>
  </r>
  <r>
    <n v="2873212765"/>
    <d v="2016-04-03T00:00:00"/>
    <n v="7640"/>
    <n v="5.1300001144409197"/>
    <n v="5.1300001144409197"/>
    <n v="0"/>
    <n v="0.18999999761581399"/>
    <n v="0.80000001192092896"/>
    <n v="4.1500000953674299"/>
    <n v="0"/>
    <n v="3"/>
    <n v="15"/>
    <n v="315"/>
    <n v="1107"/>
    <n v="1845"/>
    <x v="0"/>
    <x v="1"/>
    <x v="0"/>
  </r>
  <r>
    <n v="2873212765"/>
    <d v="2016-04-04T00:00:00"/>
    <n v="9713"/>
    <n v="6.5300002098083496"/>
    <n v="6.5300002098083496"/>
    <n v="0"/>
    <n v="0.34000000357627902"/>
    <n v="0.88999998569488503"/>
    <n v="5.28999996185303"/>
    <n v="0"/>
    <n v="6"/>
    <n v="24"/>
    <n v="355"/>
    <n v="1055"/>
    <n v="2046"/>
    <x v="0"/>
    <x v="0"/>
    <x v="0"/>
  </r>
  <r>
    <n v="2873212765"/>
    <d v="2016-04-05T00:00:00"/>
    <n v="8432"/>
    <n v="5.6700000762939498"/>
    <n v="5.6700000762939498"/>
    <n v="0"/>
    <n v="0"/>
    <n v="0"/>
    <n v="5.6500000953674299"/>
    <n v="9.9999997764825804E-3"/>
    <n v="0"/>
    <n v="0"/>
    <n v="374"/>
    <n v="1066"/>
    <n v="1953"/>
    <x v="0"/>
    <x v="0"/>
    <x v="0"/>
  </r>
  <r>
    <n v="2873212765"/>
    <d v="2016-04-06T00:00:00"/>
    <n v="7350"/>
    <n v="4.9400000572204599"/>
    <n v="4.9400000572204599"/>
    <n v="0"/>
    <n v="0"/>
    <n v="0"/>
    <n v="4.9400000572204599"/>
    <n v="0"/>
    <n v="0"/>
    <n v="0"/>
    <n v="382"/>
    <n v="1058"/>
    <n v="1910"/>
    <x v="0"/>
    <x v="0"/>
    <x v="0"/>
  </r>
  <r>
    <n v="2873212765"/>
    <d v="2016-04-07T00:00:00"/>
    <n v="9353"/>
    <n v="6.3099999427795401"/>
    <n v="6.3099999427795401"/>
    <n v="0"/>
    <n v="0.37000000476837203"/>
    <n v="0.68999999761581399"/>
    <n v="5.2399997711181596"/>
    <n v="0"/>
    <n v="5"/>
    <n v="17"/>
    <n v="363"/>
    <n v="1055"/>
    <n v="2035"/>
    <x v="0"/>
    <x v="0"/>
    <x v="0"/>
  </r>
  <r>
    <n v="2873212765"/>
    <d v="2016-04-08T00:00:00"/>
    <n v="7157"/>
    <n v="4.8099999427795401"/>
    <n v="4.8099999427795401"/>
    <n v="0"/>
    <n v="0"/>
    <n v="0"/>
    <n v="4.8099999427795401"/>
    <n v="0"/>
    <n v="0"/>
    <n v="0"/>
    <n v="380"/>
    <n v="1060"/>
    <n v="1944"/>
    <x v="0"/>
    <x v="0"/>
    <x v="0"/>
  </r>
  <r>
    <n v="2873212765"/>
    <d v="2016-04-09T00:00:00"/>
    <n v="14103"/>
    <n v="9.5600004196166992"/>
    <n v="9.5600004196166992"/>
    <n v="0"/>
    <n v="3.0199999809265101"/>
    <n v="0.40999999642372098"/>
    <n v="6.1399998664856001"/>
    <n v="9.9999997764825804E-3"/>
    <n v="46"/>
    <n v="8"/>
    <n v="288"/>
    <n v="1098"/>
    <n v="2257"/>
    <x v="0"/>
    <x v="1"/>
    <x v="0"/>
  </r>
  <r>
    <n v="2873212765"/>
    <d v="2016-04-10T00:00:00"/>
    <n v="5290"/>
    <n v="3.5499999523162802"/>
    <n v="3.5499999523162802"/>
    <n v="0"/>
    <n v="3.9999999105930301E-2"/>
    <n v="0.34000000357627902"/>
    <n v="3.1700000762939502"/>
    <n v="0"/>
    <n v="1"/>
    <n v="8"/>
    <n v="251"/>
    <n v="1180"/>
    <n v="1724"/>
    <x v="0"/>
    <x v="1"/>
    <x v="0"/>
  </r>
  <r>
    <n v="2873212765"/>
    <d v="2016-04-11T00:00:00"/>
    <n v="7497"/>
    <n v="5.03999996185303"/>
    <n v="5.03999996185303"/>
    <n v="0"/>
    <n v="0"/>
    <n v="0"/>
    <n v="5.03999996185303"/>
    <n v="0"/>
    <n v="0"/>
    <n v="0"/>
    <n v="357"/>
    <n v="882"/>
    <n v="1741"/>
    <x v="0"/>
    <x v="0"/>
    <x v="0"/>
  </r>
  <r>
    <n v="2873212765"/>
    <d v="2016-04-12T00:00:00"/>
    <n v="0"/>
    <n v="0"/>
    <n v="0"/>
    <n v="0"/>
    <n v="0"/>
    <n v="0"/>
    <n v="0"/>
    <n v="0"/>
    <n v="0"/>
    <n v="0"/>
    <n v="0"/>
    <n v="1440"/>
    <n v="0"/>
    <x v="0"/>
    <x v="0"/>
    <x v="0"/>
  </r>
  <r>
    <n v="2891001357"/>
    <d v="2016-03-29T00:00:00"/>
    <n v="0"/>
    <n v="0"/>
    <n v="0"/>
    <n v="0"/>
    <n v="0"/>
    <n v="0"/>
    <n v="0"/>
    <n v="0"/>
    <n v="0"/>
    <n v="0"/>
    <n v="0"/>
    <n v="1440"/>
    <n v="1920"/>
    <x v="0"/>
    <x v="0"/>
    <x v="0"/>
  </r>
  <r>
    <n v="2891001357"/>
    <d v="2016-03-30T00:00:00"/>
    <n v="0"/>
    <n v="0"/>
    <n v="0"/>
    <n v="0"/>
    <n v="0"/>
    <n v="0"/>
    <n v="0"/>
    <n v="0"/>
    <n v="0"/>
    <n v="0"/>
    <n v="0"/>
    <n v="1440"/>
    <n v="1920"/>
    <x v="0"/>
    <x v="0"/>
    <x v="0"/>
  </r>
  <r>
    <n v="2891001357"/>
    <d v="2016-03-31T00:00:00"/>
    <n v="0"/>
    <n v="0"/>
    <n v="0"/>
    <n v="0"/>
    <n v="0"/>
    <n v="0"/>
    <n v="0"/>
    <n v="0"/>
    <n v="0"/>
    <n v="0"/>
    <n v="0"/>
    <n v="1440"/>
    <n v="1920"/>
    <x v="0"/>
    <x v="0"/>
    <x v="0"/>
  </r>
  <r>
    <n v="2891001357"/>
    <d v="2016-04-01T00:00:00"/>
    <n v="0"/>
    <n v="0"/>
    <n v="0"/>
    <n v="4.8280320167541504"/>
    <n v="0"/>
    <n v="0"/>
    <n v="0"/>
    <n v="0"/>
    <n v="0"/>
    <n v="660"/>
    <n v="0"/>
    <n v="780"/>
    <n v="4562"/>
    <x v="1"/>
    <x v="0"/>
    <x v="0"/>
  </r>
  <r>
    <n v="2891001357"/>
    <d v="2016-04-02T00:00:00"/>
    <n v="4126"/>
    <n v="3.2200000286102299"/>
    <n v="0"/>
    <n v="3.21868801116943"/>
    <n v="0"/>
    <n v="0"/>
    <n v="3.2200000286102299"/>
    <n v="0"/>
    <n v="0"/>
    <n v="0"/>
    <n v="720"/>
    <n v="720"/>
    <n v="2881"/>
    <x v="0"/>
    <x v="1"/>
    <x v="0"/>
  </r>
  <r>
    <n v="2891001357"/>
    <d v="2016-04-03T00:00:00"/>
    <n v="0"/>
    <n v="0"/>
    <n v="0"/>
    <n v="0"/>
    <n v="0"/>
    <n v="0"/>
    <n v="0"/>
    <n v="0"/>
    <n v="0"/>
    <n v="0"/>
    <n v="0"/>
    <n v="1440"/>
    <n v="1920"/>
    <x v="0"/>
    <x v="1"/>
    <x v="0"/>
  </r>
  <r>
    <n v="2891001357"/>
    <d v="2016-04-04T00:00:00"/>
    <n v="0"/>
    <n v="0"/>
    <n v="0"/>
    <n v="0"/>
    <n v="0"/>
    <n v="0"/>
    <n v="0"/>
    <n v="0"/>
    <n v="0"/>
    <n v="0"/>
    <n v="0"/>
    <n v="1440"/>
    <n v="1920"/>
    <x v="0"/>
    <x v="0"/>
    <x v="0"/>
  </r>
  <r>
    <n v="2891001357"/>
    <d v="2016-04-05T00:00:00"/>
    <n v="2063"/>
    <n v="1.6100000143051101"/>
    <n v="0"/>
    <n v="1.6093440055847199"/>
    <n v="0"/>
    <n v="0"/>
    <n v="1.6100000143051101"/>
    <n v="0"/>
    <n v="0"/>
    <n v="0"/>
    <n v="630"/>
    <n v="99"/>
    <n v="1144"/>
    <x v="0"/>
    <x v="0"/>
    <x v="1"/>
  </r>
  <r>
    <n v="3372868164"/>
    <d v="2016-04-01T00:00:00"/>
    <n v="5785"/>
    <n v="3.9500000476837198"/>
    <n v="3.9500000476837198"/>
    <n v="0"/>
    <n v="0"/>
    <n v="0"/>
    <n v="3.9100000858306898"/>
    <n v="3.9999999105930301E-2"/>
    <n v="0"/>
    <n v="0"/>
    <n v="311"/>
    <n v="1129"/>
    <n v="1852"/>
    <x v="0"/>
    <x v="0"/>
    <x v="0"/>
  </r>
  <r>
    <n v="3372868164"/>
    <d v="2016-04-02T00:00:00"/>
    <n v="7625"/>
    <n v="5.2300000190734899"/>
    <n v="5.2300000190734899"/>
    <n v="0"/>
    <n v="1.6799999475479099"/>
    <n v="3.9999999105930301E-2"/>
    <n v="3.5"/>
    <n v="9.9999997764825804E-3"/>
    <n v="24"/>
    <n v="1"/>
    <n v="341"/>
    <n v="1074"/>
    <n v="2069"/>
    <x v="0"/>
    <x v="1"/>
    <x v="0"/>
  </r>
  <r>
    <n v="3372868164"/>
    <d v="2016-04-03T00:00:00"/>
    <n v="4706"/>
    <n v="3.21000003814697"/>
    <n v="3.21000003814697"/>
    <n v="0"/>
    <n v="0"/>
    <n v="0"/>
    <n v="3.21000003814697"/>
    <n v="0"/>
    <n v="0"/>
    <n v="0"/>
    <n v="299"/>
    <n v="1141"/>
    <n v="1816"/>
    <x v="0"/>
    <x v="1"/>
    <x v="0"/>
  </r>
  <r>
    <n v="3372868164"/>
    <d v="2016-04-04T00:00:00"/>
    <n v="5861"/>
    <n v="4.0199999809265101"/>
    <n v="4.0199999809265101"/>
    <n v="0"/>
    <n v="1.29999995231628"/>
    <n v="0.21999999880790699"/>
    <n v="2.4900000095367401"/>
    <n v="9.9999997764825804E-3"/>
    <n v="20"/>
    <n v="7"/>
    <n v="233"/>
    <n v="1180"/>
    <n v="1878"/>
    <x v="0"/>
    <x v="0"/>
    <x v="0"/>
  </r>
  <r>
    <n v="3372868164"/>
    <d v="2016-04-05T00:00:00"/>
    <n v="4460"/>
    <n v="3.03999996185303"/>
    <n v="3.03999996185303"/>
    <n v="0"/>
    <n v="0"/>
    <n v="0"/>
    <n v="3.0199999809265101"/>
    <n v="2.9999999329447701E-2"/>
    <n v="0"/>
    <n v="0"/>
    <n v="248"/>
    <n v="1192"/>
    <n v="1787"/>
    <x v="0"/>
    <x v="0"/>
    <x v="0"/>
  </r>
  <r>
    <n v="3372868164"/>
    <d v="2016-04-06T00:00:00"/>
    <n v="6406"/>
    <n v="4.3899998664856001"/>
    <n v="4.3899998664856001"/>
    <n v="0"/>
    <n v="0.77999997138977095"/>
    <n v="9.00000035762787E-2"/>
    <n v="3.5199999809265101"/>
    <n v="9.9999997764825804E-3"/>
    <n v="17"/>
    <n v="4"/>
    <n v="325"/>
    <n v="1094"/>
    <n v="2010"/>
    <x v="0"/>
    <x v="0"/>
    <x v="0"/>
  </r>
  <r>
    <n v="3372868164"/>
    <d v="2016-04-07T00:00:00"/>
    <n v="7392"/>
    <n v="5.0999999046325701"/>
    <n v="5.0999999046325701"/>
    <n v="0"/>
    <n v="0.87000000476837203"/>
    <n v="0.15999999642372101"/>
    <n v="4.0500001907348597"/>
    <n v="1.9999999552965199E-2"/>
    <n v="14"/>
    <n v="9"/>
    <n v="332"/>
    <n v="1085"/>
    <n v="2038"/>
    <x v="0"/>
    <x v="0"/>
    <x v="0"/>
  </r>
  <r>
    <n v="3372868164"/>
    <d v="2016-04-08T00:00:00"/>
    <n v="5551"/>
    <n v="3.78999996185303"/>
    <n v="3.78999996185303"/>
    <n v="0"/>
    <n v="0"/>
    <n v="0"/>
    <n v="3.7699999809265101"/>
    <n v="9.9999997764825804E-3"/>
    <n v="0"/>
    <n v="0"/>
    <n v="282"/>
    <n v="1158"/>
    <n v="1815"/>
    <x v="0"/>
    <x v="0"/>
    <x v="0"/>
  </r>
  <r>
    <n v="3372868164"/>
    <d v="2016-04-09T00:00:00"/>
    <n v="8827"/>
    <n v="6.25"/>
    <n v="6.25"/>
    <n v="0"/>
    <n v="1.7699999809265099"/>
    <n v="0.479999989271164"/>
    <n v="4"/>
    <n v="9.9999997764825804E-3"/>
    <n v="21"/>
    <n v="10"/>
    <n v="346"/>
    <n v="1063"/>
    <n v="2062"/>
    <x v="0"/>
    <x v="1"/>
    <x v="0"/>
  </r>
  <r>
    <n v="3372868164"/>
    <d v="2016-04-10T00:00:00"/>
    <n v="4662"/>
    <n v="3.1800000667571999"/>
    <n v="3.1800000667571999"/>
    <n v="0"/>
    <n v="1.03999996185303"/>
    <n v="0.15000000596046401"/>
    <n v="1.9900000095367401"/>
    <n v="0"/>
    <n v="22"/>
    <n v="4"/>
    <n v="152"/>
    <n v="735"/>
    <n v="1276"/>
    <x v="0"/>
    <x v="1"/>
    <x v="0"/>
  </r>
  <r>
    <n v="3977333714"/>
    <d v="2016-04-01T00:00:00"/>
    <n v="4499"/>
    <n v="3.0099999904632599"/>
    <n v="3.0099999904632599"/>
    <n v="0"/>
    <n v="0"/>
    <n v="0"/>
    <n v="3.0099999904632599"/>
    <n v="0"/>
    <n v="0"/>
    <n v="0"/>
    <n v="168"/>
    <n v="842"/>
    <n v="1288"/>
    <x v="0"/>
    <x v="0"/>
    <x v="0"/>
  </r>
  <r>
    <n v="3977333714"/>
    <d v="2016-04-02T00:00:00"/>
    <n v="7618"/>
    <n v="5.0999999046325701"/>
    <n v="5.0999999046325701"/>
    <n v="0"/>
    <n v="0"/>
    <n v="0.18000000715255701"/>
    <n v="4.9099998474121103"/>
    <n v="0"/>
    <n v="0"/>
    <n v="6"/>
    <n v="302"/>
    <n v="842"/>
    <n v="1490"/>
    <x v="0"/>
    <x v="1"/>
    <x v="0"/>
  </r>
  <r>
    <n v="3977333714"/>
    <d v="2016-04-03T00:00:00"/>
    <n v="11508"/>
    <n v="7.6999998092651403"/>
    <n v="7.6999998092651403"/>
    <n v="0"/>
    <n v="2.1700000762939502"/>
    <n v="0.83999997377395597"/>
    <n v="4.6900000572204599"/>
    <n v="0"/>
    <n v="29"/>
    <n v="22"/>
    <n v="282"/>
    <n v="748"/>
    <n v="1630"/>
    <x v="0"/>
    <x v="1"/>
    <x v="0"/>
  </r>
  <r>
    <n v="3977333714"/>
    <d v="2016-04-04T00:00:00"/>
    <n v="11943"/>
    <n v="7.9899997711181596"/>
    <n v="7.9899997711181596"/>
    <n v="0"/>
    <n v="1.0299999713897701"/>
    <n v="2.0099999904632599"/>
    <n v="4.9499998092651403"/>
    <n v="0"/>
    <n v="16"/>
    <n v="43"/>
    <n v="297"/>
    <n v="710"/>
    <n v="1648"/>
    <x v="0"/>
    <x v="0"/>
    <x v="0"/>
  </r>
  <r>
    <n v="3977333714"/>
    <d v="2016-04-05T00:00:00"/>
    <n v="12303"/>
    <n v="8.2299995422363299"/>
    <n v="8.2299995422363299"/>
    <n v="0"/>
    <n v="1.71000003814697"/>
    <n v="1.3500000238418599"/>
    <n v="5.1700000762939498"/>
    <n v="0"/>
    <n v="26"/>
    <n v="32"/>
    <n v="291"/>
    <n v="605"/>
    <n v="1649"/>
    <x v="0"/>
    <x v="0"/>
    <x v="0"/>
  </r>
  <r>
    <n v="3977333714"/>
    <d v="2016-04-06T00:00:00"/>
    <n v="15425"/>
    <n v="10.319999694824199"/>
    <n v="10.319999694824199"/>
    <n v="0"/>
    <n v="1.62000000476837"/>
    <n v="1.8200000524520901"/>
    <n v="6.8699998855590803"/>
    <n v="0"/>
    <n v="24"/>
    <n v="45"/>
    <n v="331"/>
    <n v="614"/>
    <n v="1783"/>
    <x v="0"/>
    <x v="0"/>
    <x v="0"/>
  </r>
  <r>
    <n v="3977333714"/>
    <d v="2016-04-07T00:00:00"/>
    <n v="8422"/>
    <n v="5.6300001144409197"/>
    <n v="5.6300001144409197"/>
    <n v="0"/>
    <n v="0"/>
    <n v="3.5999999046325701"/>
    <n v="2.03999996185303"/>
    <n v="0"/>
    <n v="0"/>
    <n v="81"/>
    <n v="139"/>
    <n v="815"/>
    <n v="1431"/>
    <x v="0"/>
    <x v="0"/>
    <x v="0"/>
  </r>
  <r>
    <n v="3977333714"/>
    <d v="2016-04-08T00:00:00"/>
    <n v="10226"/>
    <n v="6.8400001525878897"/>
    <n v="6.8400001525878897"/>
    <n v="0"/>
    <n v="0"/>
    <n v="4.4400000572204599"/>
    <n v="2.4000000953674299"/>
    <n v="0"/>
    <n v="0"/>
    <n v="101"/>
    <n v="174"/>
    <n v="685"/>
    <n v="1524"/>
    <x v="0"/>
    <x v="0"/>
    <x v="0"/>
  </r>
  <r>
    <n v="3977333714"/>
    <d v="2016-04-09T00:00:00"/>
    <n v="14583"/>
    <n v="9.7600002288818395"/>
    <n v="9.7600002288818395"/>
    <n v="0"/>
    <n v="2.4800000190734899"/>
    <n v="1.7400000095367401"/>
    <n v="5.5300002098083496"/>
    <n v="0"/>
    <n v="35"/>
    <n v="36"/>
    <n v="254"/>
    <n v="697"/>
    <n v="1697"/>
    <x v="0"/>
    <x v="1"/>
    <x v="0"/>
  </r>
  <r>
    <n v="3977333714"/>
    <d v="2016-04-10T00:00:00"/>
    <n v="3573"/>
    <n v="2.3900001049041699"/>
    <n v="2.3900001049041699"/>
    <n v="0"/>
    <n v="0.93999999761581399"/>
    <n v="0.40999999642372098"/>
    <n v="0.97000002861022905"/>
    <n v="0"/>
    <n v="15"/>
    <n v="8"/>
    <n v="99"/>
    <n v="866"/>
    <n v="1232"/>
    <x v="0"/>
    <x v="1"/>
    <x v="0"/>
  </r>
  <r>
    <n v="3977333714"/>
    <d v="2016-04-11T00:00:00"/>
    <n v="3108"/>
    <n v="2.1400001049041699"/>
    <n v="2.1400001049041699"/>
    <n v="0"/>
    <n v="7.0000000298023196E-2"/>
    <n v="3.9999999105930301E-2"/>
    <n v="1.96000003814697"/>
    <n v="0"/>
    <n v="1"/>
    <n v="1"/>
    <n v="129"/>
    <n v="894"/>
    <n v="1223"/>
    <x v="0"/>
    <x v="0"/>
    <x v="0"/>
  </r>
  <r>
    <n v="3977333714"/>
    <d v="2016-04-12T00:00:00"/>
    <n v="759"/>
    <n v="0.56999999284744296"/>
    <n v="0.56999999284744296"/>
    <n v="0"/>
    <n v="0"/>
    <n v="0"/>
    <n v="0.56999999284744296"/>
    <n v="0"/>
    <n v="0"/>
    <n v="0"/>
    <n v="17"/>
    <n v="187"/>
    <n v="182"/>
    <x v="0"/>
    <x v="0"/>
    <x v="0"/>
  </r>
  <r>
    <n v="4020332650"/>
    <d v="2016-03-12T00:00:00"/>
    <n v="5543"/>
    <n v="3.9700000286102299"/>
    <n v="3.9700000286102299"/>
    <n v="0"/>
    <n v="0"/>
    <n v="0"/>
    <n v="3.96000003814697"/>
    <n v="9.9999997764825804E-3"/>
    <n v="0"/>
    <n v="0"/>
    <n v="254"/>
    <n v="757"/>
    <n v="2990"/>
    <x v="0"/>
    <x v="1"/>
    <x v="0"/>
  </r>
  <r>
    <n v="4020332650"/>
    <d v="2016-03-13T00:00:00"/>
    <n v="3226"/>
    <n v="2.3099999427795401"/>
    <n v="2.3099999427795401"/>
    <n v="0"/>
    <n v="0"/>
    <n v="0"/>
    <n v="2.2799999713897701"/>
    <n v="0"/>
    <n v="0"/>
    <n v="0"/>
    <n v="136"/>
    <n v="771"/>
    <n v="2480"/>
    <x v="0"/>
    <x v="1"/>
    <x v="0"/>
  </r>
  <r>
    <n v="4020332650"/>
    <d v="2016-03-14T00:00:00"/>
    <n v="3023"/>
    <n v="2.1700000762939502"/>
    <n v="2.1700000762939502"/>
    <n v="0"/>
    <n v="0"/>
    <n v="0"/>
    <n v="2.1400001049041699"/>
    <n v="0"/>
    <n v="0"/>
    <n v="0"/>
    <n v="145"/>
    <n v="1005"/>
    <n v="2570"/>
    <x v="0"/>
    <x v="0"/>
    <x v="0"/>
  </r>
  <r>
    <n v="4020332650"/>
    <d v="2016-03-15T00:00:00"/>
    <n v="5906"/>
    <n v="4.2300000190734899"/>
    <n v="4.2300000190734899"/>
    <n v="0"/>
    <n v="0"/>
    <n v="0.15999999642372101"/>
    <n v="4.03999996185303"/>
    <n v="0"/>
    <n v="0"/>
    <n v="10"/>
    <n v="215"/>
    <n v="874"/>
    <n v="3016"/>
    <x v="0"/>
    <x v="0"/>
    <x v="0"/>
  </r>
  <r>
    <n v="4020332650"/>
    <d v="2016-03-16T00:00:00"/>
    <n v="12483"/>
    <n v="8.9899997711181605"/>
    <n v="8.9899997711181605"/>
    <n v="0"/>
    <n v="1.45000004768372"/>
    <n v="0.56999999284744296"/>
    <n v="6.9000000953674299"/>
    <n v="0"/>
    <n v="25"/>
    <n v="14"/>
    <n v="309"/>
    <n v="599"/>
    <n v="3830"/>
    <x v="0"/>
    <x v="0"/>
    <x v="0"/>
  </r>
  <r>
    <n v="4020332650"/>
    <d v="2016-03-17T00:00:00"/>
    <n v="8940"/>
    <n v="6.4099998474121103"/>
    <n v="6.4099998474121103"/>
    <n v="0"/>
    <n v="0"/>
    <n v="0"/>
    <n v="0.61000001430511497"/>
    <n v="3.9999999105930301E-2"/>
    <n v="0"/>
    <n v="0"/>
    <n v="47"/>
    <n v="986"/>
    <n v="3706"/>
    <x v="0"/>
    <x v="0"/>
    <x v="0"/>
  </r>
  <r>
    <n v="4020332650"/>
    <d v="2016-03-18T00:00:00"/>
    <n v="368"/>
    <n v="0.259999990463257"/>
    <n v="0.259999990463257"/>
    <n v="0"/>
    <n v="0"/>
    <n v="0"/>
    <n v="0"/>
    <n v="0"/>
    <n v="0"/>
    <n v="0"/>
    <n v="0"/>
    <n v="1440"/>
    <n v="2024"/>
    <x v="0"/>
    <x v="0"/>
    <x v="0"/>
  </r>
  <r>
    <n v="4020332650"/>
    <d v="2016-03-19T00:00:00"/>
    <n v="5702"/>
    <n v="4.0900001525878897"/>
    <n v="4.0900001525878897"/>
    <n v="0"/>
    <n v="0"/>
    <n v="0"/>
    <n v="0"/>
    <n v="0"/>
    <n v="0"/>
    <n v="0"/>
    <n v="0"/>
    <n v="1440"/>
    <n v="2980"/>
    <x v="0"/>
    <x v="1"/>
    <x v="0"/>
  </r>
  <r>
    <n v="4020332650"/>
    <d v="2016-03-20T00:00:00"/>
    <n v="10330"/>
    <n v="7.4099998474121103"/>
    <n v="7.4099998474121103"/>
    <n v="0"/>
    <n v="0"/>
    <n v="0"/>
    <n v="0"/>
    <n v="0"/>
    <n v="0"/>
    <n v="0"/>
    <n v="0"/>
    <n v="1440"/>
    <n v="3728"/>
    <x v="0"/>
    <x v="1"/>
    <x v="0"/>
  </r>
  <r>
    <n v="4020332650"/>
    <d v="2016-03-21T00:00:00"/>
    <n v="8778"/>
    <n v="6.28999996185303"/>
    <n v="6.28999996185303"/>
    <n v="0"/>
    <n v="0"/>
    <n v="0"/>
    <n v="0"/>
    <n v="0"/>
    <n v="0"/>
    <n v="0"/>
    <n v="0"/>
    <n v="1440"/>
    <n v="3348"/>
    <x v="0"/>
    <x v="0"/>
    <x v="0"/>
  </r>
  <r>
    <n v="4020332650"/>
    <d v="2016-03-22T00:00:00"/>
    <n v="6662"/>
    <n v="4.7800002098083496"/>
    <n v="4.7800002098083496"/>
    <n v="0"/>
    <n v="0"/>
    <n v="0"/>
    <n v="0"/>
    <n v="0"/>
    <n v="0"/>
    <n v="0"/>
    <n v="0"/>
    <n v="1440"/>
    <n v="3162"/>
    <x v="0"/>
    <x v="0"/>
    <x v="0"/>
  </r>
  <r>
    <n v="4020332650"/>
    <d v="2016-03-23T00:00:00"/>
    <n v="6309"/>
    <n v="4.5199999809265101"/>
    <n v="4.5199999809265101"/>
    <n v="0"/>
    <n v="0"/>
    <n v="0"/>
    <n v="0"/>
    <n v="0"/>
    <n v="0"/>
    <n v="0"/>
    <n v="0"/>
    <n v="1440"/>
    <n v="3140"/>
    <x v="0"/>
    <x v="0"/>
    <x v="0"/>
  </r>
  <r>
    <n v="4020332650"/>
    <d v="2016-03-24T00:00:00"/>
    <n v="1951"/>
    <n v="1.4099999666214"/>
    <n v="1.4099999666214"/>
    <n v="0"/>
    <n v="0"/>
    <n v="0"/>
    <n v="0"/>
    <n v="0"/>
    <n v="0"/>
    <n v="0"/>
    <n v="0"/>
    <n v="1440"/>
    <n v="1980"/>
    <x v="0"/>
    <x v="0"/>
    <x v="0"/>
  </r>
  <r>
    <n v="4020332650"/>
    <d v="2016-03-25T00:00:00"/>
    <n v="5563"/>
    <n v="3.9900000095367401"/>
    <n v="3.9900000095367401"/>
    <n v="0"/>
    <n v="0"/>
    <n v="0"/>
    <n v="0"/>
    <n v="0"/>
    <n v="0"/>
    <n v="0"/>
    <n v="0"/>
    <n v="1440"/>
    <n v="3681"/>
    <x v="0"/>
    <x v="0"/>
    <x v="0"/>
  </r>
  <r>
    <n v="4020332650"/>
    <d v="2016-03-26T00:00:00"/>
    <n v="4370"/>
    <n v="3.1300001144409202"/>
    <n v="3.1300001144409202"/>
    <n v="0"/>
    <n v="0"/>
    <n v="0"/>
    <n v="0"/>
    <n v="0"/>
    <n v="0"/>
    <n v="0"/>
    <n v="0"/>
    <n v="1440"/>
    <n v="3444"/>
    <x v="0"/>
    <x v="1"/>
    <x v="0"/>
  </r>
  <r>
    <n v="4020332650"/>
    <d v="2016-03-27T00:00:00"/>
    <n v="7144"/>
    <n v="5.1199998855590803"/>
    <n v="5.1199998855590803"/>
    <n v="0"/>
    <n v="0"/>
    <n v="0"/>
    <n v="0"/>
    <n v="0"/>
    <n v="0"/>
    <n v="0"/>
    <n v="0"/>
    <n v="1440"/>
    <n v="3510"/>
    <x v="0"/>
    <x v="1"/>
    <x v="0"/>
  </r>
  <r>
    <n v="4020332650"/>
    <d v="2016-03-28T00:00:00"/>
    <n v="2106"/>
    <n v="1.5099999904632599"/>
    <n v="1.5099999904632599"/>
    <n v="0"/>
    <n v="1.9999999552965199E-2"/>
    <n v="5.0000000745058101E-2"/>
    <n v="0.20999999344348899"/>
    <n v="0"/>
    <n v="31"/>
    <n v="45"/>
    <n v="75"/>
    <n v="1289"/>
    <n v="4010"/>
    <x v="0"/>
    <x v="0"/>
    <x v="0"/>
  </r>
  <r>
    <n v="4020332650"/>
    <d v="2016-03-29T00:00:00"/>
    <n v="4152"/>
    <n v="2.9800000190734899"/>
    <n v="2.9800000190734899"/>
    <n v="0"/>
    <n v="0"/>
    <n v="0"/>
    <n v="2.96000003814697"/>
    <n v="0"/>
    <n v="0"/>
    <n v="0"/>
    <n v="187"/>
    <n v="1253"/>
    <n v="2976"/>
    <x v="0"/>
    <x v="0"/>
    <x v="0"/>
  </r>
  <r>
    <n v="4020332650"/>
    <d v="2016-03-30T00:00:00"/>
    <n v="5400"/>
    <n v="3.8699998855590798"/>
    <n v="3.8699998855590798"/>
    <n v="0"/>
    <n v="0"/>
    <n v="0"/>
    <n v="3.8499999046325701"/>
    <n v="0"/>
    <n v="0"/>
    <n v="0"/>
    <n v="258"/>
    <n v="795"/>
    <n v="3418"/>
    <x v="0"/>
    <x v="0"/>
    <x v="0"/>
  </r>
  <r>
    <n v="4020332650"/>
    <d v="2016-03-31T00:00:00"/>
    <n v="7428"/>
    <n v="5.3299999237060502"/>
    <n v="5.3299999237060502"/>
    <n v="0"/>
    <n v="0.87000000476837203"/>
    <n v="0.92000001668930098"/>
    <n v="3.5099999904632599"/>
    <n v="0"/>
    <n v="18"/>
    <n v="33"/>
    <n v="261"/>
    <n v="860"/>
    <n v="3439"/>
    <x v="0"/>
    <x v="0"/>
    <x v="0"/>
  </r>
  <r>
    <n v="4020332650"/>
    <d v="2016-04-01T00:00:00"/>
    <n v="5351"/>
    <n v="3.8399999141693102"/>
    <n v="3.8399999141693102"/>
    <n v="0"/>
    <n v="0.62000000476837203"/>
    <n v="0.18000000715255701"/>
    <n v="3.0099999904632599"/>
    <n v="0"/>
    <n v="15"/>
    <n v="17"/>
    <n v="210"/>
    <n v="748"/>
    <n v="3338"/>
    <x v="0"/>
    <x v="0"/>
    <x v="0"/>
  </r>
  <r>
    <n v="4020332650"/>
    <d v="2016-04-02T00:00:00"/>
    <n v="4299"/>
    <n v="3.0999999046325701"/>
    <n v="3.0999999046325701"/>
    <n v="0"/>
    <n v="9.00000035762787E-2"/>
    <n v="0.20999999344348899"/>
    <n v="2.7400000095367401"/>
    <n v="3.9999999105930301E-2"/>
    <n v="3"/>
    <n v="15"/>
    <n v="162"/>
    <n v="752"/>
    <n v="2892"/>
    <x v="0"/>
    <x v="1"/>
    <x v="0"/>
  </r>
  <r>
    <n v="4020332650"/>
    <d v="2016-04-03T00:00:00"/>
    <n v="6107"/>
    <n v="4.3800001144409197"/>
    <n v="4.3800001144409197"/>
    <n v="0"/>
    <n v="0"/>
    <n v="0"/>
    <n v="4.3600001335143999"/>
    <n v="0"/>
    <n v="0"/>
    <n v="0"/>
    <n v="265"/>
    <n v="776"/>
    <n v="3313"/>
    <x v="0"/>
    <x v="1"/>
    <x v="0"/>
  </r>
  <r>
    <n v="4020332650"/>
    <d v="2016-04-04T00:00:00"/>
    <n v="6429"/>
    <n v="4.5999999046325701"/>
    <n v="4.5999999046325701"/>
    <n v="0"/>
    <n v="0"/>
    <n v="0.94999998807907104"/>
    <n v="3.6500000953674299"/>
    <n v="0"/>
    <n v="0"/>
    <n v="28"/>
    <n v="193"/>
    <n v="741"/>
    <n v="3118"/>
    <x v="0"/>
    <x v="0"/>
    <x v="0"/>
  </r>
  <r>
    <n v="4020332650"/>
    <d v="2016-04-05T00:00:00"/>
    <n v="6880"/>
    <n v="4.9299998283386204"/>
    <n v="4.9299998283386204"/>
    <n v="0"/>
    <n v="0.5"/>
    <n v="0.75999999046325695"/>
    <n v="3.6500000953674299"/>
    <n v="0"/>
    <n v="7"/>
    <n v="19"/>
    <n v="165"/>
    <n v="1249"/>
    <n v="2966"/>
    <x v="0"/>
    <x v="0"/>
    <x v="0"/>
  </r>
  <r>
    <n v="4020332650"/>
    <d v="2016-04-06T00:00:00"/>
    <n v="7476"/>
    <n v="5.3600001335143999"/>
    <n v="5.3600001335143999"/>
    <n v="0"/>
    <n v="0"/>
    <n v="0"/>
    <n v="5.3099999427795401"/>
    <n v="0"/>
    <n v="0"/>
    <n v="0"/>
    <n v="263"/>
    <n v="920"/>
    <n v="3253"/>
    <x v="0"/>
    <x v="0"/>
    <x v="0"/>
  </r>
  <r>
    <n v="4020332650"/>
    <d v="2016-04-07T00:00:00"/>
    <n v="6581"/>
    <n v="4.7199997901916504"/>
    <n v="4.7199997901916504"/>
    <n v="0"/>
    <n v="0"/>
    <n v="0.28999999165535001"/>
    <n v="4.3899998664856001"/>
    <n v="0"/>
    <n v="0"/>
    <n v="8"/>
    <n v="241"/>
    <n v="1191"/>
    <n v="3032"/>
    <x v="0"/>
    <x v="0"/>
    <x v="0"/>
  </r>
  <r>
    <n v="4020332650"/>
    <d v="2016-04-08T00:00:00"/>
    <n v="10480"/>
    <n v="7.5100002288818404"/>
    <n v="7.5100002288818404"/>
    <n v="0"/>
    <n v="0.40999999642372098"/>
    <n v="1.4700000286102299"/>
    <n v="5.0100002288818404"/>
    <n v="3.9999999105930301E-2"/>
    <n v="6"/>
    <n v="37"/>
    <n v="272"/>
    <n v="1125"/>
    <n v="4034"/>
    <x v="0"/>
    <x v="0"/>
    <x v="0"/>
  </r>
  <r>
    <n v="4020332650"/>
    <d v="2016-04-09T00:00:00"/>
    <n v="7734"/>
    <n v="5.5500001907348597"/>
    <n v="5.5500001907348597"/>
    <n v="0"/>
    <n v="1.1599999666214"/>
    <n v="0.490000009536743"/>
    <n v="3.8199999332428001"/>
    <n v="5.9999998658895499E-2"/>
    <n v="20"/>
    <n v="12"/>
    <n v="223"/>
    <n v="1185"/>
    <n v="3264"/>
    <x v="0"/>
    <x v="1"/>
    <x v="0"/>
  </r>
  <r>
    <n v="4020332650"/>
    <d v="2016-04-10T00:00:00"/>
    <n v="5129"/>
    <n v="3.6800000667571999"/>
    <n v="3.6800000667571999"/>
    <n v="0"/>
    <n v="0.18000000715255701"/>
    <n v="0.239999994635582"/>
    <n v="3.21000003814697"/>
    <n v="9.9999997764825804E-3"/>
    <n v="5"/>
    <n v="7"/>
    <n v="176"/>
    <n v="1178"/>
    <n v="2817"/>
    <x v="0"/>
    <x v="1"/>
    <x v="0"/>
  </r>
  <r>
    <n v="4020332650"/>
    <d v="2016-04-11T00:00:00"/>
    <n v="2993"/>
    <n v="2.1500000953674299"/>
    <n v="2.1500000953674299"/>
    <n v="0"/>
    <n v="0"/>
    <n v="0"/>
    <n v="2.0899999141693102"/>
    <n v="0"/>
    <n v="0"/>
    <n v="0"/>
    <n v="114"/>
    <n v="888"/>
    <n v="2507"/>
    <x v="0"/>
    <x v="0"/>
    <x v="0"/>
  </r>
  <r>
    <n v="4020332650"/>
    <d v="2016-04-12T00:00:00"/>
    <n v="8"/>
    <n v="9.9999997764825804E-3"/>
    <n v="9.9999997764825804E-3"/>
    <n v="0"/>
    <n v="0"/>
    <n v="0"/>
    <n v="9.9999997764825804E-3"/>
    <n v="0"/>
    <n v="0"/>
    <n v="0"/>
    <n v="1"/>
    <n v="321"/>
    <n v="446"/>
    <x v="0"/>
    <x v="0"/>
    <x v="0"/>
  </r>
  <r>
    <n v="4057192912"/>
    <d v="2016-03-12T00:00:00"/>
    <n v="0"/>
    <n v="0"/>
    <n v="0"/>
    <n v="0"/>
    <n v="0"/>
    <n v="0"/>
    <n v="0"/>
    <n v="0"/>
    <n v="0"/>
    <n v="0"/>
    <n v="0"/>
    <n v="1440"/>
    <n v="1777"/>
    <x v="0"/>
    <x v="1"/>
    <x v="0"/>
  </r>
  <r>
    <n v="4057192912"/>
    <d v="2016-03-13T00:00:00"/>
    <n v="0"/>
    <n v="0"/>
    <n v="0"/>
    <n v="0"/>
    <n v="0"/>
    <n v="0"/>
    <n v="0"/>
    <n v="0"/>
    <n v="0"/>
    <n v="0"/>
    <n v="0"/>
    <n v="1440"/>
    <n v="1777"/>
    <x v="0"/>
    <x v="1"/>
    <x v="0"/>
  </r>
  <r>
    <n v="4057192912"/>
    <d v="2016-03-14T00:00:00"/>
    <n v="8433"/>
    <n v="6.2300000190734899"/>
    <n v="6.2300000190734899"/>
    <n v="0"/>
    <n v="2.4500000476837198"/>
    <n v="0.33000001311302202"/>
    <n v="3.4400000572204599"/>
    <n v="0"/>
    <n v="30"/>
    <n v="7"/>
    <n v="135"/>
    <n v="1268"/>
    <n v="2453"/>
    <x v="0"/>
    <x v="0"/>
    <x v="0"/>
  </r>
  <r>
    <n v="4057192912"/>
    <d v="2016-03-15T00:00:00"/>
    <n v="0"/>
    <n v="0"/>
    <n v="0"/>
    <n v="0"/>
    <n v="0"/>
    <n v="0"/>
    <n v="0"/>
    <n v="0"/>
    <n v="0"/>
    <n v="0"/>
    <n v="0"/>
    <n v="1440"/>
    <n v="1776"/>
    <x v="0"/>
    <x v="0"/>
    <x v="0"/>
  </r>
  <r>
    <n v="4057192912"/>
    <d v="2016-03-16T00:00:00"/>
    <n v="2139"/>
    <n v="1.5599999427795399"/>
    <n v="1.5599999427795399"/>
    <n v="0"/>
    <n v="0"/>
    <n v="1.29999995231628"/>
    <n v="0.259999990463257"/>
    <n v="0"/>
    <n v="0"/>
    <n v="28"/>
    <n v="15"/>
    <n v="1397"/>
    <n v="1935"/>
    <x v="0"/>
    <x v="0"/>
    <x v="0"/>
  </r>
  <r>
    <n v="4057192912"/>
    <d v="2016-03-17T00:00:00"/>
    <n v="0"/>
    <n v="0"/>
    <n v="0"/>
    <n v="0"/>
    <n v="0"/>
    <n v="0"/>
    <n v="0"/>
    <n v="0"/>
    <n v="0"/>
    <n v="0"/>
    <n v="0"/>
    <n v="1440"/>
    <n v="1776"/>
    <x v="0"/>
    <x v="0"/>
    <x v="0"/>
  </r>
  <r>
    <n v="4057192912"/>
    <d v="2016-03-18T00:00:00"/>
    <n v="949"/>
    <n v="0.68999999761581399"/>
    <n v="0.68999999761581399"/>
    <n v="0"/>
    <n v="0"/>
    <n v="0"/>
    <n v="0.68999999761581399"/>
    <n v="0"/>
    <n v="0"/>
    <n v="0"/>
    <n v="34"/>
    <n v="1406"/>
    <n v="1870"/>
    <x v="0"/>
    <x v="0"/>
    <x v="0"/>
  </r>
  <r>
    <n v="4057192912"/>
    <d v="2016-03-19T00:00:00"/>
    <n v="0"/>
    <n v="0"/>
    <n v="0"/>
    <n v="0"/>
    <n v="0"/>
    <n v="0"/>
    <n v="0"/>
    <n v="0"/>
    <n v="0"/>
    <n v="0"/>
    <n v="0"/>
    <n v="1440"/>
    <n v="1777"/>
    <x v="0"/>
    <x v="1"/>
    <x v="0"/>
  </r>
  <r>
    <n v="4057192912"/>
    <d v="2016-03-20T00:00:00"/>
    <n v="44"/>
    <n v="2.9999999329447701E-2"/>
    <n v="2.9999999329447701E-2"/>
    <n v="0"/>
    <n v="0"/>
    <n v="0"/>
    <n v="2.9999999329447701E-2"/>
    <n v="0"/>
    <n v="0"/>
    <n v="0"/>
    <n v="2"/>
    <n v="1438"/>
    <n v="1782"/>
    <x v="0"/>
    <x v="1"/>
    <x v="0"/>
  </r>
  <r>
    <n v="4057192912"/>
    <d v="2016-03-21T00:00:00"/>
    <n v="2660"/>
    <n v="1.9400000572204601"/>
    <n v="1.9400000572204601"/>
    <n v="0"/>
    <n v="0"/>
    <n v="0"/>
    <n v="1.9400000572204601"/>
    <n v="0"/>
    <n v="0"/>
    <n v="0"/>
    <n v="46"/>
    <n v="1394"/>
    <n v="1978"/>
    <x v="0"/>
    <x v="0"/>
    <x v="0"/>
  </r>
  <r>
    <n v="4057192912"/>
    <d v="2016-03-22T00:00:00"/>
    <n v="5561"/>
    <n v="4.1900000572204599"/>
    <n v="4.1900000572204599"/>
    <n v="0"/>
    <n v="0"/>
    <n v="0"/>
    <n v="4.0700001716613796"/>
    <n v="0"/>
    <n v="0"/>
    <n v="0"/>
    <n v="169"/>
    <n v="1271"/>
    <n v="2296"/>
    <x v="0"/>
    <x v="0"/>
    <x v="0"/>
  </r>
  <r>
    <n v="4057192912"/>
    <d v="2016-03-23T00:00:00"/>
    <n v="7239"/>
    <n v="5.3400001525878897"/>
    <n v="5.3400001525878897"/>
    <n v="0"/>
    <n v="0.55000001192092896"/>
    <n v="0.36000001430511502"/>
    <n v="4.3800001144409197"/>
    <n v="0"/>
    <n v="7"/>
    <n v="7"/>
    <n v="190"/>
    <n v="1236"/>
    <n v="2484"/>
    <x v="0"/>
    <x v="0"/>
    <x v="0"/>
  </r>
  <r>
    <n v="4057192912"/>
    <d v="2016-03-24T00:00:00"/>
    <n v="7"/>
    <n v="9.9999997764825804E-3"/>
    <n v="9.9999997764825804E-3"/>
    <n v="0"/>
    <n v="0"/>
    <n v="0"/>
    <n v="9.9999997764825804E-3"/>
    <n v="0"/>
    <n v="0"/>
    <n v="0"/>
    <n v="1"/>
    <n v="1439"/>
    <n v="1787"/>
    <x v="0"/>
    <x v="0"/>
    <x v="0"/>
  </r>
  <r>
    <n v="4057192912"/>
    <d v="2016-03-25T00:00:00"/>
    <n v="0"/>
    <n v="0"/>
    <n v="0"/>
    <n v="0"/>
    <n v="0"/>
    <n v="0"/>
    <n v="0"/>
    <n v="0"/>
    <n v="0"/>
    <n v="0"/>
    <n v="0"/>
    <n v="1440"/>
    <n v="1776"/>
    <x v="0"/>
    <x v="0"/>
    <x v="0"/>
  </r>
  <r>
    <n v="4057192912"/>
    <d v="2016-03-26T00:00:00"/>
    <n v="0"/>
    <n v="0"/>
    <n v="0"/>
    <n v="0"/>
    <n v="0"/>
    <n v="0"/>
    <n v="0"/>
    <n v="0"/>
    <n v="0"/>
    <n v="0"/>
    <n v="0"/>
    <n v="1440"/>
    <n v="1776"/>
    <x v="0"/>
    <x v="1"/>
    <x v="0"/>
  </r>
  <r>
    <n v="4057192912"/>
    <d v="2016-03-27T00:00:00"/>
    <n v="2275"/>
    <n v="1.6799999475479099"/>
    <n v="1.6799999475479099"/>
    <n v="0"/>
    <n v="0"/>
    <n v="0"/>
    <n v="1.6599999666214"/>
    <n v="0"/>
    <n v="0"/>
    <n v="0"/>
    <n v="86"/>
    <n v="1354"/>
    <n v="2005"/>
    <x v="0"/>
    <x v="1"/>
    <x v="0"/>
  </r>
  <r>
    <n v="4057192912"/>
    <d v="2016-03-28T00:00:00"/>
    <n v="8"/>
    <n v="9.9999997764825804E-3"/>
    <n v="9.9999997764825804E-3"/>
    <n v="0"/>
    <n v="0"/>
    <n v="0"/>
    <n v="9.9999997764825804E-3"/>
    <n v="0"/>
    <n v="0"/>
    <n v="0"/>
    <n v="1"/>
    <n v="1439"/>
    <n v="1778"/>
    <x v="0"/>
    <x v="0"/>
    <x v="0"/>
  </r>
  <r>
    <n v="4057192912"/>
    <d v="2016-03-29T00:00:00"/>
    <n v="5137"/>
    <n v="3.7599999904632599"/>
    <n v="3.7599999904632599"/>
    <n v="0"/>
    <n v="0"/>
    <n v="0"/>
    <n v="3.7599999904632599"/>
    <n v="0"/>
    <n v="0"/>
    <n v="0"/>
    <n v="160"/>
    <n v="1280"/>
    <n v="2293"/>
    <x v="0"/>
    <x v="0"/>
    <x v="0"/>
  </r>
  <r>
    <n v="4057192912"/>
    <d v="2016-03-30T00:00:00"/>
    <n v="5419"/>
    <n v="4"/>
    <n v="4.5700001716613796"/>
    <n v="5.5842999368906E-2"/>
    <n v="0"/>
    <n v="0"/>
    <n v="3.9100000858306898"/>
    <n v="5.9999998658895499E-2"/>
    <n v="0"/>
    <n v="0"/>
    <n v="145"/>
    <n v="1295"/>
    <n v="2259"/>
    <x v="0"/>
    <x v="0"/>
    <x v="0"/>
  </r>
  <r>
    <n v="4057192912"/>
    <d v="2016-03-31T00:00:00"/>
    <n v="0"/>
    <n v="0"/>
    <n v="0"/>
    <n v="0"/>
    <n v="0"/>
    <n v="0"/>
    <n v="0"/>
    <n v="0"/>
    <n v="0"/>
    <n v="0"/>
    <n v="0"/>
    <n v="1440"/>
    <n v="1776"/>
    <x v="0"/>
    <x v="0"/>
    <x v="0"/>
  </r>
  <r>
    <n v="4057192912"/>
    <d v="2016-04-01T00:00:00"/>
    <n v="0"/>
    <n v="0"/>
    <n v="0"/>
    <n v="0"/>
    <n v="0"/>
    <n v="0"/>
    <n v="0"/>
    <n v="0"/>
    <n v="0"/>
    <n v="0"/>
    <n v="0"/>
    <n v="1440"/>
    <n v="1776"/>
    <x v="0"/>
    <x v="0"/>
    <x v="0"/>
  </r>
  <r>
    <n v="4057192912"/>
    <d v="2016-04-02T00:00:00"/>
    <n v="0"/>
    <n v="0"/>
    <n v="0"/>
    <n v="0"/>
    <n v="0"/>
    <n v="0"/>
    <n v="0"/>
    <n v="0"/>
    <n v="0"/>
    <n v="0"/>
    <n v="0"/>
    <n v="1440"/>
    <n v="1776"/>
    <x v="0"/>
    <x v="1"/>
    <x v="0"/>
  </r>
  <r>
    <n v="4057192912"/>
    <d v="2016-04-03T00:00:00"/>
    <n v="0"/>
    <n v="0"/>
    <n v="0"/>
    <n v="0"/>
    <n v="0"/>
    <n v="0"/>
    <n v="0"/>
    <n v="0"/>
    <n v="0"/>
    <n v="0"/>
    <n v="0"/>
    <n v="1440"/>
    <n v="1776"/>
    <x v="0"/>
    <x v="1"/>
    <x v="0"/>
  </r>
  <r>
    <n v="4057192912"/>
    <d v="2016-04-04T00:00:00"/>
    <n v="0"/>
    <n v="0"/>
    <n v="0"/>
    <n v="0"/>
    <n v="0"/>
    <n v="0"/>
    <n v="0"/>
    <n v="0"/>
    <n v="0"/>
    <n v="0"/>
    <n v="0"/>
    <n v="1440"/>
    <n v="1776"/>
    <x v="0"/>
    <x v="0"/>
    <x v="0"/>
  </r>
  <r>
    <n v="4057192912"/>
    <d v="2016-04-05T00:00:00"/>
    <n v="0"/>
    <n v="0"/>
    <n v="0"/>
    <n v="0"/>
    <n v="0"/>
    <n v="0"/>
    <n v="0"/>
    <n v="0"/>
    <n v="0"/>
    <n v="0"/>
    <n v="0"/>
    <n v="1440"/>
    <n v="1776"/>
    <x v="0"/>
    <x v="0"/>
    <x v="0"/>
  </r>
  <r>
    <n v="4057192912"/>
    <d v="2016-04-06T00:00:00"/>
    <n v="18"/>
    <n v="9.9999997764825804E-3"/>
    <n v="9.9999997764825804E-3"/>
    <n v="0"/>
    <n v="0"/>
    <n v="0"/>
    <n v="9.9999997764825804E-3"/>
    <n v="0"/>
    <n v="0"/>
    <n v="0"/>
    <n v="2"/>
    <n v="1438"/>
    <n v="1780"/>
    <x v="0"/>
    <x v="0"/>
    <x v="0"/>
  </r>
  <r>
    <n v="4057192912"/>
    <d v="2016-04-07T00:00:00"/>
    <n v="4"/>
    <n v="0"/>
    <n v="0"/>
    <n v="0"/>
    <n v="0"/>
    <n v="0"/>
    <n v="0"/>
    <n v="0"/>
    <n v="0"/>
    <n v="0"/>
    <n v="1"/>
    <n v="1439"/>
    <n v="1778"/>
    <x v="0"/>
    <x v="0"/>
    <x v="0"/>
  </r>
  <r>
    <n v="4057192912"/>
    <d v="2016-04-08T00:00:00"/>
    <n v="8426"/>
    <n v="6.1599998474121103"/>
    <n v="6.1599998474121103"/>
    <n v="0"/>
    <n v="0.129999995231628"/>
    <n v="5.4899997711181596"/>
    <n v="0.54000002145767201"/>
    <n v="0"/>
    <n v="2"/>
    <n v="120"/>
    <n v="25"/>
    <n v="1293"/>
    <n v="2360"/>
    <x v="0"/>
    <x v="0"/>
    <x v="0"/>
  </r>
  <r>
    <n v="4057192912"/>
    <d v="2016-04-09T00:00:00"/>
    <n v="1650"/>
    <n v="1.21000003814697"/>
    <n v="1.21000003814697"/>
    <n v="0"/>
    <n v="0"/>
    <n v="0"/>
    <n v="1.21000003814697"/>
    <n v="0"/>
    <n v="0"/>
    <n v="0"/>
    <n v="60"/>
    <n v="1380"/>
    <n v="1952"/>
    <x v="0"/>
    <x v="1"/>
    <x v="0"/>
  </r>
  <r>
    <n v="4057192912"/>
    <d v="2016-04-10T00:00:00"/>
    <n v="3434"/>
    <n v="2.5099999904632599"/>
    <n v="2.5099999904632599"/>
    <n v="0"/>
    <n v="7.0000000298023196E-2"/>
    <n v="0.30000001192092901"/>
    <n v="2.1400001049041699"/>
    <n v="0"/>
    <n v="1"/>
    <n v="7"/>
    <n v="108"/>
    <n v="1324"/>
    <n v="2101"/>
    <x v="0"/>
    <x v="1"/>
    <x v="0"/>
  </r>
  <r>
    <n v="4057192912"/>
    <d v="2016-04-11T00:00:00"/>
    <n v="6801"/>
    <n v="4.9800000190734899"/>
    <n v="4.9800000190734899"/>
    <n v="0"/>
    <n v="0"/>
    <n v="0"/>
    <n v="4.9699997901916504"/>
    <n v="0"/>
    <n v="0"/>
    <n v="0"/>
    <n v="193"/>
    <n v="1247"/>
    <n v="2393"/>
    <x v="0"/>
    <x v="0"/>
    <x v="0"/>
  </r>
  <r>
    <n v="4057192912"/>
    <d v="2016-04-12T00:00:00"/>
    <n v="187"/>
    <n v="0.140000000596046"/>
    <n v="0.140000000596046"/>
    <n v="0"/>
    <n v="0"/>
    <n v="0"/>
    <n v="0.140000000596046"/>
    <n v="0"/>
    <n v="0"/>
    <n v="0"/>
    <n v="11"/>
    <n v="400"/>
    <n v="538"/>
    <x v="0"/>
    <x v="0"/>
    <x v="0"/>
  </r>
  <r>
    <n v="4319703577"/>
    <d v="2016-03-29T00:00:00"/>
    <n v="5643"/>
    <n v="3.78999996185303"/>
    <n v="3.78999996185303"/>
    <n v="0"/>
    <n v="0.230000004172325"/>
    <n v="0.33000001311302202"/>
    <n v="3.2300000190734899"/>
    <n v="0"/>
    <n v="3"/>
    <n v="8"/>
    <n v="199"/>
    <n v="683"/>
    <n v="1958"/>
    <x v="0"/>
    <x v="0"/>
    <x v="0"/>
  </r>
  <r>
    <n v="4319703577"/>
    <d v="2016-03-30T00:00:00"/>
    <n v="9043"/>
    <n v="6.0700001716613796"/>
    <n v="6.0700001716613796"/>
    <n v="0"/>
    <n v="0.25"/>
    <n v="0.43000000715255698"/>
    <n v="5.3699998855590803"/>
    <n v="0"/>
    <n v="4"/>
    <n v="12"/>
    <n v="244"/>
    <n v="702"/>
    <n v="2141"/>
    <x v="0"/>
    <x v="0"/>
    <x v="0"/>
  </r>
  <r>
    <n v="4319703577"/>
    <d v="2016-03-31T00:00:00"/>
    <n v="8144"/>
    <n v="5.46000003814697"/>
    <n v="5.46000003814697"/>
    <n v="0"/>
    <n v="0.25"/>
    <n v="0.61000001430511497"/>
    <n v="4.6100001335143999"/>
    <n v="0"/>
    <n v="4"/>
    <n v="17"/>
    <n v="247"/>
    <n v="1125"/>
    <n v="2129"/>
    <x v="0"/>
    <x v="0"/>
    <x v="0"/>
  </r>
  <r>
    <n v="4319703577"/>
    <d v="2016-04-01T00:00:00"/>
    <n v="9343"/>
    <n v="6.2699999809265101"/>
    <n v="6.2699999809265101"/>
    <n v="0"/>
    <n v="0.95999997854232799"/>
    <n v="0.85000002384185802"/>
    <n v="4.46000003814697"/>
    <n v="0"/>
    <n v="14"/>
    <n v="20"/>
    <n v="268"/>
    <n v="654"/>
    <n v="2216"/>
    <x v="0"/>
    <x v="0"/>
    <x v="0"/>
  </r>
  <r>
    <n v="4319703577"/>
    <d v="2016-04-02T00:00:00"/>
    <n v="8405"/>
    <n v="5.6599998474121103"/>
    <n v="5.6599998474121103"/>
    <n v="0"/>
    <n v="1.12999999523163"/>
    <n v="0.18999999761581399"/>
    <n v="4.3400001525878897"/>
    <n v="0"/>
    <n v="15"/>
    <n v="4"/>
    <n v="257"/>
    <n v="621"/>
    <n v="2154"/>
    <x v="0"/>
    <x v="1"/>
    <x v="0"/>
  </r>
  <r>
    <n v="4319703577"/>
    <d v="2016-04-03T00:00:00"/>
    <n v="8223"/>
    <n v="5.5199999809265101"/>
    <n v="5.5199999809265101"/>
    <n v="0"/>
    <n v="0.80000001192092896"/>
    <n v="1.5099999904632599"/>
    <n v="3.21000003814697"/>
    <n v="0"/>
    <n v="12"/>
    <n v="37"/>
    <n v="257"/>
    <n v="551"/>
    <n v="2178"/>
    <x v="0"/>
    <x v="1"/>
    <x v="0"/>
  </r>
  <r>
    <n v="4319703577"/>
    <d v="2016-04-04T00:00:00"/>
    <n v="10067"/>
    <n v="6.7600002288818404"/>
    <n v="6.7600002288818404"/>
    <n v="0"/>
    <n v="0.36000001430511502"/>
    <n v="1.41999995708466"/>
    <n v="4.9699997901916504"/>
    <n v="0"/>
    <n v="5"/>
    <n v="39"/>
    <n v="313"/>
    <n v="578"/>
    <n v="2308"/>
    <x v="0"/>
    <x v="0"/>
    <x v="0"/>
  </r>
  <r>
    <n v="4319703577"/>
    <d v="2016-04-05T00:00:00"/>
    <n v="8359"/>
    <n v="5.6300001144409197"/>
    <n v="5.6300001144409197"/>
    <n v="0"/>
    <n v="0.230000004172325"/>
    <n v="0.52999997138977095"/>
    <n v="4.8699998855590803"/>
    <n v="0"/>
    <n v="3"/>
    <n v="14"/>
    <n v="311"/>
    <n v="638"/>
    <n v="2201"/>
    <x v="0"/>
    <x v="0"/>
    <x v="0"/>
  </r>
  <r>
    <n v="4319703577"/>
    <d v="2016-04-06T00:00:00"/>
    <n v="10946"/>
    <n v="7.3499999046325701"/>
    <n v="7.3499999046325701"/>
    <n v="0"/>
    <n v="0.54000002145767201"/>
    <n v="2.0899999141693102"/>
    <n v="4.7199997901916504"/>
    <n v="0"/>
    <n v="8"/>
    <n v="51"/>
    <n v="308"/>
    <n v="569"/>
    <n v="2341"/>
    <x v="0"/>
    <x v="0"/>
    <x v="0"/>
  </r>
  <r>
    <n v="4319703577"/>
    <d v="2016-04-07T00:00:00"/>
    <n v="9130"/>
    <n v="6.1500000953674299"/>
    <n v="6.1500000953674299"/>
    <n v="0"/>
    <n v="0.5"/>
    <n v="0.37999999523162797"/>
    <n v="5.2699999809265101"/>
    <n v="0"/>
    <n v="7"/>
    <n v="11"/>
    <n v="304"/>
    <n v="668"/>
    <n v="2236"/>
    <x v="0"/>
    <x v="0"/>
    <x v="0"/>
  </r>
  <r>
    <n v="4319703577"/>
    <d v="2016-04-08T00:00:00"/>
    <n v="6544"/>
    <n v="4.4099998474121103"/>
    <n v="4.4099998474121103"/>
    <n v="0"/>
    <n v="0.28999999165535001"/>
    <n v="0.259999990463257"/>
    <n v="3.8599998950958301"/>
    <n v="0"/>
    <n v="4"/>
    <n v="6"/>
    <n v="276"/>
    <n v="1132"/>
    <n v="2069"/>
    <x v="0"/>
    <x v="0"/>
    <x v="0"/>
  </r>
  <r>
    <n v="4319703577"/>
    <d v="2016-04-09T00:00:00"/>
    <n v="0"/>
    <n v="0"/>
    <n v="0"/>
    <n v="0"/>
    <n v="0"/>
    <n v="0"/>
    <n v="0"/>
    <n v="0"/>
    <n v="0"/>
    <n v="0"/>
    <n v="0"/>
    <n v="1440"/>
    <n v="0"/>
    <x v="0"/>
    <x v="1"/>
    <x v="0"/>
  </r>
  <r>
    <n v="4388161847"/>
    <d v="2016-03-29T00:00:00"/>
    <n v="0"/>
    <n v="0"/>
    <n v="0"/>
    <n v="0"/>
    <n v="0"/>
    <n v="0"/>
    <n v="0"/>
    <n v="0"/>
    <n v="0"/>
    <n v="0"/>
    <n v="0"/>
    <n v="1440"/>
    <n v="1878"/>
    <x v="0"/>
    <x v="0"/>
    <x v="0"/>
  </r>
  <r>
    <n v="4388161847"/>
    <d v="2016-03-30T00:00:00"/>
    <n v="0"/>
    <n v="0"/>
    <n v="0"/>
    <n v="0"/>
    <n v="0"/>
    <n v="0"/>
    <n v="0"/>
    <n v="0"/>
    <n v="0"/>
    <n v="0"/>
    <n v="0"/>
    <n v="1440"/>
    <n v="1878"/>
    <x v="0"/>
    <x v="0"/>
    <x v="0"/>
  </r>
  <r>
    <n v="4388161847"/>
    <d v="2016-03-31T00:00:00"/>
    <n v="0"/>
    <n v="0"/>
    <n v="0"/>
    <n v="0"/>
    <n v="0"/>
    <n v="0"/>
    <n v="0"/>
    <n v="0"/>
    <n v="0"/>
    <n v="0"/>
    <n v="0"/>
    <n v="1440"/>
    <n v="1878"/>
    <x v="0"/>
    <x v="0"/>
    <x v="0"/>
  </r>
  <r>
    <n v="4388161847"/>
    <d v="2016-04-01T00:00:00"/>
    <n v="0"/>
    <n v="0"/>
    <n v="0"/>
    <n v="0"/>
    <n v="0"/>
    <n v="0"/>
    <n v="0"/>
    <n v="0"/>
    <n v="0"/>
    <n v="0"/>
    <n v="0"/>
    <n v="1440"/>
    <n v="1878"/>
    <x v="0"/>
    <x v="0"/>
    <x v="0"/>
  </r>
  <r>
    <n v="4388161847"/>
    <d v="2016-04-02T00:00:00"/>
    <n v="0"/>
    <n v="0"/>
    <n v="0"/>
    <n v="0"/>
    <n v="0"/>
    <n v="0"/>
    <n v="0"/>
    <n v="0"/>
    <n v="0"/>
    <n v="0"/>
    <n v="0"/>
    <n v="1440"/>
    <n v="1878"/>
    <x v="0"/>
    <x v="1"/>
    <x v="0"/>
  </r>
  <r>
    <n v="4388161847"/>
    <d v="2016-04-03T00:00:00"/>
    <n v="0"/>
    <n v="0"/>
    <n v="0"/>
    <n v="0"/>
    <n v="0"/>
    <n v="0"/>
    <n v="0"/>
    <n v="0"/>
    <n v="0"/>
    <n v="0"/>
    <n v="0"/>
    <n v="1440"/>
    <n v="1878"/>
    <x v="0"/>
    <x v="1"/>
    <x v="0"/>
  </r>
  <r>
    <n v="4388161847"/>
    <d v="2016-04-04T00:00:00"/>
    <n v="0"/>
    <n v="0"/>
    <n v="0"/>
    <n v="0"/>
    <n v="0"/>
    <n v="0"/>
    <n v="0"/>
    <n v="0"/>
    <n v="0"/>
    <n v="0"/>
    <n v="0"/>
    <n v="1440"/>
    <n v="1878"/>
    <x v="0"/>
    <x v="0"/>
    <x v="0"/>
  </r>
  <r>
    <n v="4388161847"/>
    <d v="2016-04-05T00:00:00"/>
    <n v="0"/>
    <n v="0"/>
    <n v="0"/>
    <n v="0"/>
    <n v="0"/>
    <n v="0"/>
    <n v="0"/>
    <n v="0"/>
    <n v="0"/>
    <n v="0"/>
    <n v="0"/>
    <n v="994"/>
    <n v="1296"/>
    <x v="0"/>
    <x v="0"/>
    <x v="0"/>
  </r>
  <r>
    <n v="4445114986"/>
    <d v="2016-03-29T00:00:00"/>
    <n v="2303"/>
    <n v="1.54999995231628"/>
    <n v="1.54999995231628"/>
    <n v="0"/>
    <n v="0"/>
    <n v="0"/>
    <n v="1.54999995231628"/>
    <n v="0"/>
    <n v="0"/>
    <n v="0"/>
    <n v="155"/>
    <n v="807"/>
    <n v="2010"/>
    <x v="0"/>
    <x v="0"/>
    <x v="0"/>
  </r>
  <r>
    <n v="4445114986"/>
    <d v="2016-03-30T00:00:00"/>
    <n v="2600"/>
    <n v="1.7400000095367401"/>
    <n v="1.7400000095367401"/>
    <n v="0"/>
    <n v="0"/>
    <n v="0"/>
    <n v="1.7400000095367401"/>
    <n v="0"/>
    <n v="0"/>
    <n v="0"/>
    <n v="163"/>
    <n v="1277"/>
    <n v="2032"/>
    <x v="0"/>
    <x v="0"/>
    <x v="0"/>
  </r>
  <r>
    <n v="4445114986"/>
    <d v="2016-03-31T00:00:00"/>
    <n v="4804"/>
    <n v="3.2200000286102299"/>
    <n v="3.2200000286102299"/>
    <n v="0"/>
    <n v="0"/>
    <n v="0"/>
    <n v="3.2200000286102299"/>
    <n v="0"/>
    <n v="0"/>
    <n v="0"/>
    <n v="238"/>
    <n v="786"/>
    <n v="2227"/>
    <x v="0"/>
    <x v="0"/>
    <x v="0"/>
  </r>
  <r>
    <n v="4445114986"/>
    <d v="2016-04-01T00:00:00"/>
    <n v="3271"/>
    <n v="2.1900000572204599"/>
    <n v="2.1900000572204599"/>
    <n v="0"/>
    <n v="0"/>
    <n v="0"/>
    <n v="2.1900000572204599"/>
    <n v="0"/>
    <n v="0"/>
    <n v="0"/>
    <n v="205"/>
    <n v="898"/>
    <n v="2133"/>
    <x v="0"/>
    <x v="0"/>
    <x v="0"/>
  </r>
  <r>
    <n v="4445114986"/>
    <d v="2016-04-02T00:00:00"/>
    <n v="5406"/>
    <n v="3.6300001144409202"/>
    <n v="3.6300001144409202"/>
    <n v="0"/>
    <n v="0"/>
    <n v="0"/>
    <n v="3.6099998950958301"/>
    <n v="0"/>
    <n v="0"/>
    <n v="0"/>
    <n v="273"/>
    <n v="672"/>
    <n v="2317"/>
    <x v="0"/>
    <x v="1"/>
    <x v="0"/>
  </r>
  <r>
    <n v="4445114986"/>
    <d v="2016-04-03T00:00:00"/>
    <n v="3146"/>
    <n v="2.1099998950958301"/>
    <n v="2.1099998950958301"/>
    <n v="0"/>
    <n v="0"/>
    <n v="0"/>
    <n v="2.1099998950958301"/>
    <n v="0"/>
    <n v="0"/>
    <n v="0"/>
    <n v="171"/>
    <n v="1269"/>
    <n v="2058"/>
    <x v="0"/>
    <x v="1"/>
    <x v="0"/>
  </r>
  <r>
    <n v="4445114986"/>
    <d v="2016-04-04T00:00:00"/>
    <n v="2422"/>
    <n v="1.62999999523163"/>
    <n v="1.62999999523163"/>
    <n v="0"/>
    <n v="0"/>
    <n v="0"/>
    <n v="1.62999999523163"/>
    <n v="0"/>
    <n v="0"/>
    <n v="0"/>
    <n v="110"/>
    <n v="1330"/>
    <n v="1935"/>
    <x v="0"/>
    <x v="0"/>
    <x v="0"/>
  </r>
  <r>
    <n v="4445114986"/>
    <d v="2016-04-05T00:00:00"/>
    <n v="4239"/>
    <n v="2.8399999141693102"/>
    <n v="2.8399999141693102"/>
    <n v="0"/>
    <n v="5.9999998658895499E-2"/>
    <n v="0.239999994635582"/>
    <n v="2.5299999713897701"/>
    <n v="0"/>
    <n v="1"/>
    <n v="6"/>
    <n v="235"/>
    <n v="702"/>
    <n v="2217"/>
    <x v="0"/>
    <x v="0"/>
    <x v="0"/>
  </r>
  <r>
    <n v="4445114986"/>
    <d v="2016-04-06T00:00:00"/>
    <n v="6911"/>
    <n v="4.7800002098083496"/>
    <n v="4.7800002098083496"/>
    <n v="0"/>
    <n v="2.3199999332428001"/>
    <n v="0.10000000149011599"/>
    <n v="2.3599998950958301"/>
    <n v="0"/>
    <n v="28"/>
    <n v="2"/>
    <n v="215"/>
    <n v="745"/>
    <n v="2374"/>
    <x v="0"/>
    <x v="0"/>
    <x v="0"/>
  </r>
  <r>
    <n v="4445114986"/>
    <d v="2016-04-07T00:00:00"/>
    <n v="6667"/>
    <n v="4.6100001335143999"/>
    <n v="4.6100001335143999"/>
    <n v="0"/>
    <n v="2.0199999809265101"/>
    <n v="5.0000000745058101E-2"/>
    <n v="2.5499999523162802"/>
    <n v="0"/>
    <n v="24"/>
    <n v="1"/>
    <n v="208"/>
    <n v="939"/>
    <n v="2335"/>
    <x v="0"/>
    <x v="0"/>
    <x v="0"/>
  </r>
  <r>
    <n v="4445114986"/>
    <d v="2016-04-08T00:00:00"/>
    <n v="5543"/>
    <n v="3.7200000286102299"/>
    <n v="3.7200000286102299"/>
    <n v="0"/>
    <n v="0"/>
    <n v="0"/>
    <n v="3.7200000286102299"/>
    <n v="0"/>
    <n v="0"/>
    <n v="0"/>
    <n v="266"/>
    <n v="941"/>
    <n v="2303"/>
    <x v="0"/>
    <x v="0"/>
    <x v="0"/>
  </r>
  <r>
    <n v="4445114986"/>
    <d v="2016-04-09T00:00:00"/>
    <n v="4195"/>
    <n v="2.8099999427795401"/>
    <n v="2.8099999427795401"/>
    <n v="0"/>
    <n v="0"/>
    <n v="0"/>
    <n v="2.8099999427795401"/>
    <n v="0"/>
    <n v="0"/>
    <n v="0"/>
    <n v="239"/>
    <n v="758"/>
    <n v="2210"/>
    <x v="0"/>
    <x v="1"/>
    <x v="0"/>
  </r>
  <r>
    <n v="4445114986"/>
    <d v="2016-04-10T00:00:00"/>
    <n v="6625"/>
    <n v="4.4499998092651403"/>
    <n v="4.4499998092651403"/>
    <n v="0"/>
    <n v="0"/>
    <n v="0"/>
    <n v="4.4499998092651403"/>
    <n v="0"/>
    <n v="0"/>
    <n v="0"/>
    <n v="316"/>
    <n v="755"/>
    <n v="2424"/>
    <x v="0"/>
    <x v="1"/>
    <x v="0"/>
  </r>
  <r>
    <n v="4445114986"/>
    <d v="2016-04-11T00:00:00"/>
    <n v="5986"/>
    <n v="4.1300001144409197"/>
    <n v="4.1300001144409197"/>
    <n v="0"/>
    <n v="1.95000004768372"/>
    <n v="0.230000004172325"/>
    <n v="1.95000004768372"/>
    <n v="0"/>
    <n v="23"/>
    <n v="5"/>
    <n v="195"/>
    <n v="789"/>
    <n v="2297"/>
    <x v="0"/>
    <x v="0"/>
    <x v="0"/>
  </r>
  <r>
    <n v="4445114986"/>
    <d v="2016-04-12T00:00:00"/>
    <n v="278"/>
    <n v="0.18999999761581399"/>
    <n v="0.18999999761581399"/>
    <n v="0"/>
    <n v="0"/>
    <n v="0"/>
    <n v="0.18999999761581399"/>
    <n v="0"/>
    <n v="0"/>
    <n v="0"/>
    <n v="20"/>
    <n v="253"/>
    <n v="745"/>
    <x v="0"/>
    <x v="0"/>
    <x v="0"/>
  </r>
  <r>
    <n v="4558609924"/>
    <d v="2016-04-01T00:00:00"/>
    <n v="5336"/>
    <n v="3.5299999713897701"/>
    <n v="3.5299999713897701"/>
    <n v="0"/>
    <n v="0"/>
    <n v="0"/>
    <n v="3.5299999713897701"/>
    <n v="0"/>
    <n v="0"/>
    <n v="0"/>
    <n v="258"/>
    <n v="1182"/>
    <n v="1902"/>
    <x v="0"/>
    <x v="0"/>
    <x v="0"/>
  </r>
  <r>
    <n v="4558609924"/>
    <d v="2016-04-02T00:00:00"/>
    <n v="3183"/>
    <n v="2.0999999046325701"/>
    <n v="2.0999999046325701"/>
    <n v="0"/>
    <n v="0"/>
    <n v="0"/>
    <n v="2.0999999046325701"/>
    <n v="0"/>
    <n v="0"/>
    <n v="0"/>
    <n v="173"/>
    <n v="1180"/>
    <n v="1680"/>
    <x v="0"/>
    <x v="1"/>
    <x v="0"/>
  </r>
  <r>
    <n v="4558609924"/>
    <d v="2016-04-03T00:00:00"/>
    <n v="6176"/>
    <n v="4.0799999237060502"/>
    <n v="4.0799999237060502"/>
    <n v="0"/>
    <n v="7.0000000298023196E-2"/>
    <n v="0.259999990463257"/>
    <n v="3.75"/>
    <n v="0"/>
    <n v="1"/>
    <n v="7"/>
    <n v="269"/>
    <n v="886"/>
    <n v="1901"/>
    <x v="0"/>
    <x v="1"/>
    <x v="0"/>
  </r>
  <r>
    <n v="4558609924"/>
    <d v="2016-04-04T00:00:00"/>
    <n v="8205"/>
    <n v="5.4200000762939498"/>
    <n v="5.4200000762939498"/>
    <n v="0"/>
    <n v="0"/>
    <n v="0"/>
    <n v="5.4200000762939498"/>
    <n v="0"/>
    <n v="0"/>
    <n v="0"/>
    <n v="367"/>
    <n v="1073"/>
    <n v="2078"/>
    <x v="0"/>
    <x v="0"/>
    <x v="0"/>
  </r>
  <r>
    <n v="4558609924"/>
    <d v="2016-04-05T00:00:00"/>
    <n v="6799"/>
    <n v="4.4899997711181596"/>
    <n v="4.4899997711181596"/>
    <n v="0"/>
    <n v="1.5900000333786"/>
    <n v="0.86000001430511497"/>
    <n v="2.03999996185303"/>
    <n v="0"/>
    <n v="24"/>
    <n v="14"/>
    <n v="185"/>
    <n v="1217"/>
    <n v="1876"/>
    <x v="0"/>
    <x v="0"/>
    <x v="0"/>
  </r>
  <r>
    <n v="4558609924"/>
    <d v="2016-04-06T00:00:00"/>
    <n v="5668"/>
    <n v="3.75"/>
    <n v="3.75"/>
    <n v="0"/>
    <n v="0"/>
    <n v="0"/>
    <n v="3.75"/>
    <n v="0"/>
    <n v="0"/>
    <n v="0"/>
    <n v="259"/>
    <n v="1181"/>
    <n v="1853"/>
    <x v="0"/>
    <x v="0"/>
    <x v="0"/>
  </r>
  <r>
    <n v="4558609924"/>
    <d v="2016-04-07T00:00:00"/>
    <n v="7998"/>
    <n v="5.28999996185303"/>
    <n v="5.28999996185303"/>
    <n v="0"/>
    <n v="0.50999999046325695"/>
    <n v="0.25"/>
    <n v="4.5300002098083496"/>
    <n v="0"/>
    <n v="27"/>
    <n v="12"/>
    <n v="296"/>
    <n v="1105"/>
    <n v="2235"/>
    <x v="0"/>
    <x v="0"/>
    <x v="0"/>
  </r>
  <r>
    <n v="4558609924"/>
    <d v="2016-04-08T00:00:00"/>
    <n v="4195"/>
    <n v="2.7699999809265101"/>
    <n v="2.7699999809265101"/>
    <n v="0"/>
    <n v="0"/>
    <n v="0"/>
    <n v="2.7699999809265101"/>
    <n v="0"/>
    <n v="0"/>
    <n v="0"/>
    <n v="241"/>
    <n v="1199"/>
    <n v="1778"/>
    <x v="0"/>
    <x v="0"/>
    <x v="0"/>
  </r>
  <r>
    <n v="4558609924"/>
    <d v="2016-04-09T00:00:00"/>
    <n v="5512"/>
    <n v="3.6400001049041699"/>
    <n v="3.6400001049041699"/>
    <n v="0"/>
    <n v="0"/>
    <n v="0"/>
    <n v="3.6400001049041699"/>
    <n v="0"/>
    <n v="0"/>
    <n v="0"/>
    <n v="276"/>
    <n v="1164"/>
    <n v="1882"/>
    <x v="0"/>
    <x v="1"/>
    <x v="0"/>
  </r>
  <r>
    <n v="4558609924"/>
    <d v="2016-04-10T00:00:00"/>
    <n v="6263"/>
    <n v="4.1399998664856001"/>
    <n v="4.1399998664856001"/>
    <n v="0"/>
    <n v="0"/>
    <n v="0"/>
    <n v="4.1300001144409197"/>
    <n v="0"/>
    <n v="0"/>
    <n v="0"/>
    <n v="290"/>
    <n v="1150"/>
    <n v="1906"/>
    <x v="0"/>
    <x v="1"/>
    <x v="0"/>
  </r>
  <r>
    <n v="4558609924"/>
    <d v="2016-04-11T00:00:00"/>
    <n v="8828"/>
    <n v="5.8400001525878897"/>
    <n v="5.8400001525878897"/>
    <n v="0"/>
    <n v="0"/>
    <n v="0"/>
    <n v="5.8400001525878897"/>
    <n v="0"/>
    <n v="0"/>
    <n v="0"/>
    <n v="308"/>
    <n v="1132"/>
    <n v="2149"/>
    <x v="0"/>
    <x v="0"/>
    <x v="0"/>
  </r>
  <r>
    <n v="4558609924"/>
    <d v="2016-04-12T00:00:00"/>
    <n v="1260"/>
    <n v="0.82999998331069902"/>
    <n v="0.82999998331069902"/>
    <n v="0"/>
    <n v="0"/>
    <n v="0"/>
    <n v="0.81999999284744296"/>
    <n v="0"/>
    <n v="0"/>
    <n v="0"/>
    <n v="76"/>
    <n v="555"/>
    <n v="722"/>
    <x v="0"/>
    <x v="0"/>
    <x v="0"/>
  </r>
  <r>
    <n v="4702921684"/>
    <d v="2016-03-29T00:00:00"/>
    <n v="6506"/>
    <n v="5.2800002098083496"/>
    <n v="5.2800002098083496"/>
    <n v="0"/>
    <n v="0.33000001311302202"/>
    <n v="0.270000010728836"/>
    <n v="4.6700000762939498"/>
    <n v="0"/>
    <n v="4"/>
    <n v="5"/>
    <n v="241"/>
    <n v="760"/>
    <n v="2886"/>
    <x v="0"/>
    <x v="0"/>
    <x v="0"/>
  </r>
  <r>
    <n v="4702921684"/>
    <d v="2016-03-30T00:00:00"/>
    <n v="7583"/>
    <n v="6.1500000953674299"/>
    <n v="6.1500000953674299"/>
    <n v="0"/>
    <n v="0.25"/>
    <n v="0.55000001192092896"/>
    <n v="5.3499999046325701"/>
    <n v="0"/>
    <n v="3"/>
    <n v="13"/>
    <n v="227"/>
    <n v="742"/>
    <n v="2915"/>
    <x v="0"/>
    <x v="0"/>
    <x v="0"/>
  </r>
  <r>
    <n v="4702921684"/>
    <d v="2016-03-31T00:00:00"/>
    <n v="6963"/>
    <n v="5.6500000953674299"/>
    <n v="5.6500000953674299"/>
    <n v="0"/>
    <n v="0"/>
    <n v="0"/>
    <n v="5.6500000953674299"/>
    <n v="0"/>
    <n v="0"/>
    <n v="0"/>
    <n v="256"/>
    <n v="759"/>
    <n v="2895"/>
    <x v="0"/>
    <x v="0"/>
    <x v="0"/>
  </r>
  <r>
    <n v="4702921684"/>
    <d v="2016-04-01T00:00:00"/>
    <n v="7165"/>
    <n v="5.8099999427795401"/>
    <n v="5.8099999427795401"/>
    <n v="0"/>
    <n v="0"/>
    <n v="0.37000000476837203"/>
    <n v="5.4400000572204599"/>
    <n v="0"/>
    <n v="0"/>
    <n v="9"/>
    <n v="248"/>
    <n v="708"/>
    <n v="2923"/>
    <x v="0"/>
    <x v="0"/>
    <x v="0"/>
  </r>
  <r>
    <n v="4702921684"/>
    <d v="2016-04-02T00:00:00"/>
    <n v="10328"/>
    <n v="8.3800001144409197"/>
    <n v="8.3800001144409197"/>
    <n v="0"/>
    <n v="0"/>
    <n v="1.46000003814697"/>
    <n v="6.9200000762939498"/>
    <n v="0"/>
    <n v="0"/>
    <n v="32"/>
    <n v="367"/>
    <n v="475"/>
    <n v="3323"/>
    <x v="0"/>
    <x v="1"/>
    <x v="0"/>
  </r>
  <r>
    <n v="4702921684"/>
    <d v="2016-04-03T00:00:00"/>
    <n v="12116"/>
    <n v="9.8299999237060494"/>
    <n v="9.8299999237060494"/>
    <n v="0"/>
    <n v="0.25"/>
    <n v="2.8499999046325701"/>
    <n v="6.7199997901916504"/>
    <n v="0"/>
    <n v="3"/>
    <n v="57"/>
    <n v="323"/>
    <n v="471"/>
    <n v="3357"/>
    <x v="0"/>
    <x v="1"/>
    <x v="0"/>
  </r>
  <r>
    <n v="4702921684"/>
    <d v="2016-04-04T00:00:00"/>
    <n v="7810"/>
    <n v="6.3600001335143999"/>
    <n v="6.3600001335143999"/>
    <n v="0"/>
    <n v="0.479999989271164"/>
    <n v="1.20000004768372"/>
    <n v="4.6799998283386204"/>
    <n v="0"/>
    <n v="6"/>
    <n v="27"/>
    <n v="216"/>
    <n v="746"/>
    <n v="2931"/>
    <x v="0"/>
    <x v="0"/>
    <x v="0"/>
  </r>
  <r>
    <n v="4702921684"/>
    <d v="2016-04-05T00:00:00"/>
    <n v="6670"/>
    <n v="5.4099998474121103"/>
    <n v="5.4099998474121103"/>
    <n v="0"/>
    <n v="1.2400000095367401"/>
    <n v="0.80000001192092896"/>
    <n v="3.3699998855590798"/>
    <n v="0"/>
    <n v="15"/>
    <n v="16"/>
    <n v="199"/>
    <n v="770"/>
    <n v="2848"/>
    <x v="0"/>
    <x v="0"/>
    <x v="0"/>
  </r>
  <r>
    <n v="4702921684"/>
    <d v="2016-04-06T00:00:00"/>
    <n v="7605"/>
    <n v="6.1799998283386204"/>
    <n v="6.1799998283386204"/>
    <n v="0"/>
    <n v="0.33000001311302202"/>
    <n v="0.20999999344348899"/>
    <n v="5.6300001144409197"/>
    <n v="0"/>
    <n v="4"/>
    <n v="4"/>
    <n v="248"/>
    <n v="708"/>
    <n v="2943"/>
    <x v="0"/>
    <x v="0"/>
    <x v="0"/>
  </r>
  <r>
    <n v="4702921684"/>
    <d v="2016-04-07T00:00:00"/>
    <n v="6585"/>
    <n v="5.3400001525878897"/>
    <n v="5.3400001525878897"/>
    <n v="0"/>
    <n v="0"/>
    <n v="0"/>
    <n v="5.3400001525878897"/>
    <n v="0"/>
    <n v="0"/>
    <n v="0"/>
    <n v="210"/>
    <n v="770"/>
    <n v="2822"/>
    <x v="0"/>
    <x v="0"/>
    <x v="0"/>
  </r>
  <r>
    <n v="4702921684"/>
    <d v="2016-04-08T00:00:00"/>
    <n v="8184"/>
    <n v="6.6399998664856001"/>
    <n v="6.6399998664856001"/>
    <n v="0"/>
    <n v="0"/>
    <n v="0.62000000476837203"/>
    <n v="5.9499998092651403"/>
    <n v="0"/>
    <n v="0"/>
    <n v="15"/>
    <n v="247"/>
    <n v="808"/>
    <n v="2981"/>
    <x v="0"/>
    <x v="0"/>
    <x v="0"/>
  </r>
  <r>
    <n v="4702921684"/>
    <d v="2016-04-09T00:00:00"/>
    <n v="14002"/>
    <n v="11.3599996566772"/>
    <n v="11.3599996566772"/>
    <n v="0"/>
    <n v="0.61000001430511497"/>
    <n v="2.6800000667571999"/>
    <n v="8.0600004196166992"/>
    <n v="0"/>
    <n v="8"/>
    <n v="56"/>
    <n v="381"/>
    <n v="407"/>
    <n v="3597"/>
    <x v="0"/>
    <x v="1"/>
    <x v="0"/>
  </r>
  <r>
    <n v="4702921684"/>
    <d v="2016-04-10T00:00:00"/>
    <n v="11135"/>
    <n v="9.0299997329711896"/>
    <n v="9.0299997329711896"/>
    <n v="0"/>
    <n v="7.9999998211860698E-2"/>
    <n v="1.1599999666214"/>
    <n v="7.78999996185303"/>
    <n v="0"/>
    <n v="1"/>
    <n v="25"/>
    <n v="331"/>
    <n v="528"/>
    <n v="3224"/>
    <x v="0"/>
    <x v="1"/>
    <x v="0"/>
  </r>
  <r>
    <n v="4702921684"/>
    <d v="2016-04-11T00:00:00"/>
    <n v="6499"/>
    <n v="5.2699999809265101"/>
    <n v="5.2699999809265101"/>
    <n v="0"/>
    <n v="0"/>
    <n v="0"/>
    <n v="5.2699999809265101"/>
    <n v="0"/>
    <n v="0"/>
    <n v="0"/>
    <n v="207"/>
    <n v="809"/>
    <n v="2677"/>
    <x v="0"/>
    <x v="0"/>
    <x v="0"/>
  </r>
  <r>
    <n v="4702921684"/>
    <d v="2016-04-12T00:00:00"/>
    <n v="0"/>
    <n v="0"/>
    <n v="0"/>
    <n v="0"/>
    <n v="0"/>
    <n v="0"/>
    <n v="0"/>
    <n v="0"/>
    <n v="0"/>
    <n v="0"/>
    <n v="0"/>
    <n v="1440"/>
    <n v="0"/>
    <x v="0"/>
    <x v="0"/>
    <x v="0"/>
  </r>
  <r>
    <n v="5553957443"/>
    <d v="2016-04-01T00:00:00"/>
    <n v="12409"/>
    <n v="8.1000003814697301"/>
    <n v="8.1000003814697301"/>
    <n v="0"/>
    <n v="2.9000000953674299"/>
    <n v="0.62999999523162797"/>
    <n v="4.5799999237060502"/>
    <n v="0"/>
    <n v="51"/>
    <n v="12"/>
    <n v="235"/>
    <n v="782"/>
    <n v="2142"/>
    <x v="0"/>
    <x v="0"/>
    <x v="0"/>
  </r>
  <r>
    <n v="5553957443"/>
    <d v="2016-04-02T00:00:00"/>
    <n v="2937"/>
    <n v="1.91999995708466"/>
    <n v="1.91999995708466"/>
    <n v="0"/>
    <n v="0"/>
    <n v="0"/>
    <n v="1.9099999666214"/>
    <n v="0"/>
    <n v="0"/>
    <n v="0"/>
    <n v="181"/>
    <n v="356"/>
    <n v="1615"/>
    <x v="0"/>
    <x v="1"/>
    <x v="0"/>
  </r>
  <r>
    <n v="5553957443"/>
    <d v="2016-04-03T00:00:00"/>
    <n v="1515"/>
    <n v="0.99000000953674305"/>
    <n v="0.99000000953674305"/>
    <n v="0"/>
    <n v="0"/>
    <n v="0"/>
    <n v="0.99000000953674305"/>
    <n v="0"/>
    <n v="0"/>
    <n v="0"/>
    <n v="93"/>
    <n v="507"/>
    <n v="1481"/>
    <x v="0"/>
    <x v="1"/>
    <x v="0"/>
  </r>
  <r>
    <n v="5553957443"/>
    <d v="2016-04-04T00:00:00"/>
    <n v="8921"/>
    <n v="5.8800001144409197"/>
    <n v="5.8800001144409197"/>
    <n v="0"/>
    <n v="2.0699999332428001"/>
    <n v="0.43999999761581399"/>
    <n v="3.3599998950958301"/>
    <n v="0"/>
    <n v="27"/>
    <n v="8"/>
    <n v="198"/>
    <n v="754"/>
    <n v="1892"/>
    <x v="0"/>
    <x v="0"/>
    <x v="0"/>
  </r>
  <r>
    <n v="5553957443"/>
    <d v="2016-04-05T00:00:00"/>
    <n v="11306"/>
    <n v="7.3800001144409197"/>
    <n v="7.3800001144409197"/>
    <n v="0"/>
    <n v="2.3099999427795401"/>
    <n v="0.980000019073486"/>
    <n v="4.0900001525878897"/>
    <n v="0"/>
    <n v="40"/>
    <n v="26"/>
    <n v="218"/>
    <n v="772"/>
    <n v="2086"/>
    <x v="0"/>
    <x v="0"/>
    <x v="0"/>
  </r>
  <r>
    <n v="5553957443"/>
    <d v="2016-04-06T00:00:00"/>
    <n v="12252"/>
    <n v="8"/>
    <n v="8"/>
    <n v="0"/>
    <n v="2.4100000858306898"/>
    <n v="1.70000004768372"/>
    <n v="3.8900001049041699"/>
    <n v="0"/>
    <n v="33"/>
    <n v="28"/>
    <n v="229"/>
    <n v="745"/>
    <n v="2044"/>
    <x v="0"/>
    <x v="0"/>
    <x v="0"/>
  </r>
  <r>
    <n v="5553957443"/>
    <d v="2016-04-07T00:00:00"/>
    <n v="15444"/>
    <n v="10.079999923706101"/>
    <n v="10.079999923706101"/>
    <n v="0"/>
    <n v="3.2699999809265101"/>
    <n v="1.7300000190734901"/>
    <n v="5.0799999237060502"/>
    <n v="0"/>
    <n v="51"/>
    <n v="39"/>
    <n v="243"/>
    <n v="731"/>
    <n v="2249"/>
    <x v="0"/>
    <x v="0"/>
    <x v="0"/>
  </r>
  <r>
    <n v="5553957443"/>
    <d v="2016-04-08T00:00:00"/>
    <n v="9938"/>
    <n v="6.4899997711181596"/>
    <n v="6.4899997711181596"/>
    <n v="0"/>
    <n v="2.1400001049041699"/>
    <n v="1.2799999713897701"/>
    <n v="3.0799999237060498"/>
    <n v="0"/>
    <n v="38"/>
    <n v="24"/>
    <n v="193"/>
    <n v="767"/>
    <n v="2019"/>
    <x v="0"/>
    <x v="0"/>
    <x v="0"/>
  </r>
  <r>
    <n v="5553957443"/>
    <d v="2016-04-09T00:00:00"/>
    <n v="4599"/>
    <n v="3"/>
    <n v="3"/>
    <n v="0"/>
    <n v="0"/>
    <n v="0"/>
    <n v="3"/>
    <n v="0"/>
    <n v="0"/>
    <n v="0"/>
    <n v="176"/>
    <n v="578"/>
    <n v="1692"/>
    <x v="0"/>
    <x v="1"/>
    <x v="0"/>
  </r>
  <r>
    <n v="5553957443"/>
    <d v="2016-04-10T00:00:00"/>
    <n v="5594"/>
    <n v="3.6500000953674299"/>
    <n v="3.6500000953674299"/>
    <n v="0"/>
    <n v="0.28000000119209301"/>
    <n v="1.4800000190734901"/>
    <n v="1.8899999856948899"/>
    <n v="0"/>
    <n v="4"/>
    <n v="25"/>
    <n v="150"/>
    <n v="552"/>
    <n v="1712"/>
    <x v="0"/>
    <x v="1"/>
    <x v="0"/>
  </r>
  <r>
    <n v="5553957443"/>
    <d v="2016-04-11T00:00:00"/>
    <n v="11906"/>
    <n v="7.7699999809265101"/>
    <n v="7.7699999809265101"/>
    <n v="0"/>
    <n v="2.2599999904632599"/>
    <n v="1.5199999809265099"/>
    <n v="3.9900000095367401"/>
    <n v="0"/>
    <n v="32"/>
    <n v="27"/>
    <n v="234"/>
    <n v="688"/>
    <n v="2065"/>
    <x v="0"/>
    <x v="0"/>
    <x v="0"/>
  </r>
  <r>
    <n v="5553957443"/>
    <d v="2016-04-12T00:00:00"/>
    <n v="3436"/>
    <n v="2.2400000095367401"/>
    <n v="2.2400000095367401"/>
    <n v="0"/>
    <n v="0.5"/>
    <n v="0.67000001668930098"/>
    <n v="1.04999995231628"/>
    <n v="0"/>
    <n v="7"/>
    <n v="11"/>
    <n v="50"/>
    <n v="61"/>
    <n v="633"/>
    <x v="0"/>
    <x v="0"/>
    <x v="0"/>
  </r>
  <r>
    <n v="5577150313"/>
    <d v="2016-04-01T00:00:00"/>
    <n v="10461"/>
    <n v="7.8699998855590803"/>
    <n v="7.8699998855590803"/>
    <n v="0"/>
    <n v="4.7600002288818404"/>
    <n v="0.85000002384185802"/>
    <n v="2.25"/>
    <n v="0"/>
    <n v="99"/>
    <n v="31"/>
    <n v="142"/>
    <n v="721"/>
    <n v="3625"/>
    <x v="0"/>
    <x v="0"/>
    <x v="0"/>
  </r>
  <r>
    <n v="5577150313"/>
    <d v="2016-04-02T00:00:00"/>
    <n v="14873"/>
    <n v="11.1099996566772"/>
    <n v="11.1099996566772"/>
    <n v="0"/>
    <n v="8.1899995803833008"/>
    <n v="0.60000002384185802"/>
    <n v="2.3099999427795401"/>
    <n v="0"/>
    <n v="202"/>
    <n v="36"/>
    <n v="153"/>
    <n v="663"/>
    <n v="4430"/>
    <x v="0"/>
    <x v="1"/>
    <x v="0"/>
  </r>
  <r>
    <n v="5577150313"/>
    <d v="2016-04-03T00:00:00"/>
    <n v="9917"/>
    <n v="7.4099998474121103"/>
    <n v="7.4099998474121103"/>
    <n v="0"/>
    <n v="1.9900000095367401"/>
    <n v="0.97000002861022905"/>
    <n v="4.4400000572204599"/>
    <n v="0"/>
    <n v="58"/>
    <n v="27"/>
    <n v="240"/>
    <n v="700"/>
    <n v="3427"/>
    <x v="0"/>
    <x v="1"/>
    <x v="0"/>
  </r>
  <r>
    <n v="5577150313"/>
    <d v="2016-04-04T00:00:00"/>
    <n v="7401"/>
    <n v="5.5599999427795401"/>
    <n v="5.5599999427795401"/>
    <n v="0"/>
    <n v="2.3199999332428001"/>
    <n v="0.36000001430511502"/>
    <n v="2.8800001144409202"/>
    <n v="0"/>
    <n v="70"/>
    <n v="19"/>
    <n v="204"/>
    <n v="689"/>
    <n v="3492"/>
    <x v="0"/>
    <x v="0"/>
    <x v="0"/>
  </r>
  <r>
    <n v="5577150313"/>
    <d v="2016-04-05T00:00:00"/>
    <n v="8964"/>
    <n v="6.6999998092651403"/>
    <n v="6.6999998092651403"/>
    <n v="0"/>
    <n v="3.9700000286102299"/>
    <n v="0.18999999761581399"/>
    <n v="2.5299999713897701"/>
    <n v="0"/>
    <n v="107"/>
    <n v="18"/>
    <n v="145"/>
    <n v="756"/>
    <n v="3597"/>
    <x v="0"/>
    <x v="0"/>
    <x v="0"/>
  </r>
  <r>
    <n v="5577150313"/>
    <d v="2016-04-06T00:00:00"/>
    <n v="11080"/>
    <n v="8.3000001907348597"/>
    <n v="8.3000001907348597"/>
    <n v="0"/>
    <n v="3.1300001144409202"/>
    <n v="1.37000000476837"/>
    <n v="3.8099999427795401"/>
    <n v="0"/>
    <n v="83"/>
    <n v="52"/>
    <n v="190"/>
    <n v="695"/>
    <n v="3765"/>
    <x v="0"/>
    <x v="0"/>
    <x v="0"/>
  </r>
  <r>
    <n v="5577150313"/>
    <d v="2016-04-07T00:00:00"/>
    <n v="4499"/>
    <n v="3.3599998950958301"/>
    <n v="3.3599998950958301"/>
    <n v="0"/>
    <n v="0.88999998569488503"/>
    <n v="0.259999990463257"/>
    <n v="2.21000003814697"/>
    <n v="0"/>
    <n v="31"/>
    <n v="11"/>
    <n v="146"/>
    <n v="756"/>
    <n v="2775"/>
    <x v="0"/>
    <x v="0"/>
    <x v="0"/>
  </r>
  <r>
    <n v="5577150313"/>
    <d v="2016-04-08T00:00:00"/>
    <n v="4363"/>
    <n v="3.2599999904632599"/>
    <n v="3.2599999904632599"/>
    <n v="0"/>
    <n v="0.129999995231628"/>
    <n v="5.9999998658895499E-2"/>
    <n v="3.0799999237060498"/>
    <n v="0"/>
    <n v="8"/>
    <n v="2"/>
    <n v="156"/>
    <n v="813"/>
    <n v="2486"/>
    <x v="0"/>
    <x v="0"/>
    <x v="0"/>
  </r>
  <r>
    <n v="5577150313"/>
    <d v="2016-04-09T00:00:00"/>
    <n v="10494"/>
    <n v="7.8400001525878897"/>
    <n v="7.8400001525878897"/>
    <n v="0"/>
    <n v="4.9099998474121103"/>
    <n v="0.77999997138977095"/>
    <n v="2.1500000953674299"/>
    <n v="0"/>
    <n v="123"/>
    <n v="62"/>
    <n v="138"/>
    <n v="601"/>
    <n v="3817"/>
    <x v="0"/>
    <x v="1"/>
    <x v="0"/>
  </r>
  <r>
    <n v="5577150313"/>
    <d v="2016-04-10T00:00:00"/>
    <n v="9776"/>
    <n v="7.3800001144409197"/>
    <n v="7.3800001144409197"/>
    <n v="0"/>
    <n v="2.9300000667571999"/>
    <n v="1.4299999475479099"/>
    <n v="3.0199999809265101"/>
    <n v="0"/>
    <n v="80"/>
    <n v="35"/>
    <n v="162"/>
    <n v="721"/>
    <n v="3378"/>
    <x v="0"/>
    <x v="1"/>
    <x v="0"/>
  </r>
  <r>
    <n v="5577150313"/>
    <d v="2016-04-11T00:00:00"/>
    <n v="2862"/>
    <n v="2.1400001049041699"/>
    <n v="2.1400001049041699"/>
    <n v="0"/>
    <n v="1.03999996185303"/>
    <n v="0.25"/>
    <n v="0.83999997377395597"/>
    <n v="0"/>
    <n v="39"/>
    <n v="17"/>
    <n v="54"/>
    <n v="209"/>
    <n v="1511"/>
    <x v="0"/>
    <x v="0"/>
    <x v="0"/>
  </r>
  <r>
    <n v="6117666160"/>
    <d v="2016-04-01T00:00:00"/>
    <n v="7444"/>
    <n v="5.6199998855590803"/>
    <n v="5.6199998855590803"/>
    <n v="0"/>
    <n v="0"/>
    <n v="0"/>
    <n v="5.6199998855590803"/>
    <n v="0"/>
    <n v="0"/>
    <n v="0"/>
    <n v="286"/>
    <n v="568"/>
    <n v="2210"/>
    <x v="0"/>
    <x v="0"/>
    <x v="0"/>
  </r>
  <r>
    <n v="6117666160"/>
    <d v="2016-04-02T00:00:00"/>
    <n v="19658"/>
    <n v="14.8400001525879"/>
    <n v="14.8400001525879"/>
    <n v="0"/>
    <n v="0.239999994635582"/>
    <n v="2.0899999141693102"/>
    <n v="12.5100002288818"/>
    <n v="0"/>
    <n v="3"/>
    <n v="30"/>
    <n v="475"/>
    <n v="466"/>
    <n v="2884"/>
    <x v="0"/>
    <x v="1"/>
    <x v="1"/>
  </r>
  <r>
    <n v="6117666160"/>
    <d v="2016-04-03T00:00:00"/>
    <n v="0"/>
    <n v="0"/>
    <n v="0"/>
    <n v="0"/>
    <n v="0"/>
    <n v="0"/>
    <n v="0"/>
    <n v="0"/>
    <n v="0"/>
    <n v="0"/>
    <n v="0"/>
    <n v="1440"/>
    <n v="1496"/>
    <x v="0"/>
    <x v="1"/>
    <x v="0"/>
  </r>
  <r>
    <n v="6117666160"/>
    <d v="2016-04-04T00:00:00"/>
    <n v="8468"/>
    <n v="6.3899998664856001"/>
    <n v="6.3899998664856001"/>
    <n v="0"/>
    <n v="0.18000000715255701"/>
    <n v="0.63999998569488503"/>
    <n v="5.5700001716613796"/>
    <n v="0"/>
    <n v="2"/>
    <n v="11"/>
    <n v="279"/>
    <n v="1148"/>
    <n v="2262"/>
    <x v="0"/>
    <x v="0"/>
    <x v="0"/>
  </r>
  <r>
    <n v="6117666160"/>
    <d v="2016-04-05T00:00:00"/>
    <n v="9910"/>
    <n v="7.4800000190734899"/>
    <n v="7.4800000190734899"/>
    <n v="0"/>
    <n v="0"/>
    <n v="0"/>
    <n v="7.4800000190734899"/>
    <n v="0"/>
    <n v="0"/>
    <n v="0"/>
    <n v="384"/>
    <n v="990"/>
    <n v="2445"/>
    <x v="0"/>
    <x v="0"/>
    <x v="0"/>
  </r>
  <r>
    <n v="6117666160"/>
    <d v="2016-04-06T00:00:00"/>
    <n v="12409"/>
    <n v="9.3699998855590803"/>
    <n v="9.3699998855590803"/>
    <n v="0"/>
    <n v="0"/>
    <n v="0"/>
    <n v="9.3699998855590803"/>
    <n v="0"/>
    <n v="0"/>
    <n v="0"/>
    <n v="491"/>
    <n v="388"/>
    <n v="2694"/>
    <x v="0"/>
    <x v="0"/>
    <x v="1"/>
  </r>
  <r>
    <n v="6117666160"/>
    <d v="2016-04-07T00:00:00"/>
    <n v="4853"/>
    <n v="3.6600000858306898"/>
    <n v="3.6600000858306898"/>
    <n v="0"/>
    <n v="0"/>
    <n v="0"/>
    <n v="3.6600000858306898"/>
    <n v="0"/>
    <n v="0"/>
    <n v="0"/>
    <n v="156"/>
    <n v="770"/>
    <n v="1903"/>
    <x v="0"/>
    <x v="0"/>
    <x v="0"/>
  </r>
  <r>
    <n v="6117666160"/>
    <d v="2016-04-08T00:00:00"/>
    <n v="8955"/>
    <n v="6.7600002288818404"/>
    <n v="6.7600002288818404"/>
    <n v="0"/>
    <n v="0"/>
    <n v="0"/>
    <n v="6.7300000190734899"/>
    <n v="0"/>
    <n v="0"/>
    <n v="0"/>
    <n v="422"/>
    <n v="1018"/>
    <n v="2482"/>
    <x v="0"/>
    <x v="0"/>
    <x v="0"/>
  </r>
  <r>
    <n v="6117666160"/>
    <d v="2016-04-09T00:00:00"/>
    <n v="10789"/>
    <n v="8.1499996185302699"/>
    <n v="8.1499996185302699"/>
    <n v="0"/>
    <n v="0"/>
    <n v="0"/>
    <n v="8.1499996185302699"/>
    <n v="0"/>
    <n v="0"/>
    <n v="0"/>
    <n v="506"/>
    <n v="413"/>
    <n v="2617"/>
    <x v="0"/>
    <x v="1"/>
    <x v="1"/>
  </r>
  <r>
    <n v="6117666160"/>
    <d v="2016-04-10T00:00:00"/>
    <n v="0"/>
    <n v="0"/>
    <n v="0"/>
    <n v="0"/>
    <n v="0"/>
    <n v="0"/>
    <n v="0"/>
    <n v="0"/>
    <n v="0"/>
    <n v="0"/>
    <n v="0"/>
    <n v="1440"/>
    <n v="0"/>
    <x v="0"/>
    <x v="1"/>
    <x v="0"/>
  </r>
  <r>
    <n v="6290855005"/>
    <d v="2016-04-01T00:00:00"/>
    <n v="6633"/>
    <n v="5.0100002288818404"/>
    <n v="5.0100002288818404"/>
    <n v="0"/>
    <n v="0"/>
    <n v="0"/>
    <n v="5.0100002288818404"/>
    <n v="0"/>
    <n v="0"/>
    <n v="0"/>
    <n v="280"/>
    <n v="1160"/>
    <n v="2778"/>
    <x v="0"/>
    <x v="0"/>
    <x v="0"/>
  </r>
  <r>
    <n v="6290855005"/>
    <d v="2016-04-02T00:00:00"/>
    <n v="9548"/>
    <n v="7.2199997901916504"/>
    <n v="7.2199997901916504"/>
    <n v="0"/>
    <n v="2.0199999809265101"/>
    <n v="3.6800000667571999"/>
    <n v="1.5199999809265099"/>
    <n v="0"/>
    <n v="25"/>
    <n v="107"/>
    <n v="113"/>
    <n v="1195"/>
    <n v="3119"/>
    <x v="0"/>
    <x v="1"/>
    <x v="0"/>
  </r>
  <r>
    <n v="6290855005"/>
    <d v="2016-04-03T00:00:00"/>
    <n v="0"/>
    <n v="0"/>
    <n v="0"/>
    <n v="0"/>
    <n v="0"/>
    <n v="0"/>
    <n v="0"/>
    <n v="0"/>
    <n v="33"/>
    <n v="0"/>
    <n v="0"/>
    <n v="1407"/>
    <n v="2664"/>
    <x v="0"/>
    <x v="1"/>
    <x v="0"/>
  </r>
  <r>
    <n v="6290855005"/>
    <d v="2016-04-04T00:00:00"/>
    <n v="0"/>
    <n v="0"/>
    <n v="0"/>
    <n v="0"/>
    <n v="0"/>
    <n v="0"/>
    <n v="0"/>
    <n v="0"/>
    <n v="0"/>
    <n v="0"/>
    <n v="0"/>
    <n v="1440"/>
    <n v="2060"/>
    <x v="0"/>
    <x v="0"/>
    <x v="0"/>
  </r>
  <r>
    <n v="6290855005"/>
    <d v="2016-04-05T00:00:00"/>
    <n v="0"/>
    <n v="0"/>
    <n v="0"/>
    <n v="0"/>
    <n v="0"/>
    <n v="0"/>
    <n v="0"/>
    <n v="0"/>
    <n v="0"/>
    <n v="0"/>
    <n v="0"/>
    <n v="1440"/>
    <n v="2060"/>
    <x v="0"/>
    <x v="0"/>
    <x v="0"/>
  </r>
  <r>
    <n v="6290855005"/>
    <d v="2016-04-06T00:00:00"/>
    <n v="0"/>
    <n v="0"/>
    <n v="0"/>
    <n v="0"/>
    <n v="0"/>
    <n v="0"/>
    <n v="0"/>
    <n v="0"/>
    <n v="0"/>
    <n v="0"/>
    <n v="0"/>
    <n v="1440"/>
    <n v="2060"/>
    <x v="0"/>
    <x v="0"/>
    <x v="0"/>
  </r>
  <r>
    <n v="6290855005"/>
    <d v="2016-04-07T00:00:00"/>
    <n v="0"/>
    <n v="0"/>
    <n v="0"/>
    <n v="0"/>
    <n v="0"/>
    <n v="0"/>
    <n v="0"/>
    <n v="0"/>
    <n v="0"/>
    <n v="0"/>
    <n v="0"/>
    <n v="1440"/>
    <n v="2060"/>
    <x v="0"/>
    <x v="0"/>
    <x v="0"/>
  </r>
  <r>
    <n v="6290855005"/>
    <d v="2016-04-08T00:00:00"/>
    <n v="0"/>
    <n v="0"/>
    <n v="0"/>
    <n v="0"/>
    <n v="0"/>
    <n v="0"/>
    <n v="0"/>
    <n v="0"/>
    <n v="0"/>
    <n v="0"/>
    <n v="0"/>
    <n v="1440"/>
    <n v="2060"/>
    <x v="0"/>
    <x v="0"/>
    <x v="0"/>
  </r>
  <r>
    <n v="6290855005"/>
    <d v="2016-04-09T00:00:00"/>
    <n v="0"/>
    <n v="0"/>
    <n v="0"/>
    <n v="0"/>
    <n v="0"/>
    <n v="0"/>
    <n v="0"/>
    <n v="0"/>
    <n v="0"/>
    <n v="0"/>
    <n v="0"/>
    <n v="1440"/>
    <n v="2060"/>
    <x v="0"/>
    <x v="1"/>
    <x v="0"/>
  </r>
  <r>
    <n v="6290855005"/>
    <d v="2016-04-10T00:00:00"/>
    <n v="0"/>
    <n v="0"/>
    <n v="0"/>
    <n v="0"/>
    <n v="0"/>
    <n v="0"/>
    <n v="0"/>
    <n v="0"/>
    <n v="20"/>
    <n v="0"/>
    <n v="0"/>
    <n v="494"/>
    <n v="735"/>
    <x v="0"/>
    <x v="1"/>
    <x v="0"/>
  </r>
  <r>
    <n v="6391747486"/>
    <d v="2016-04-01T00:00:00"/>
    <n v="0"/>
    <n v="0"/>
    <n v="0"/>
    <n v="0"/>
    <n v="0"/>
    <n v="0"/>
    <n v="0"/>
    <n v="0"/>
    <n v="0"/>
    <n v="0"/>
    <n v="0"/>
    <n v="1440"/>
    <n v="1820"/>
    <x v="0"/>
    <x v="0"/>
    <x v="0"/>
  </r>
  <r>
    <n v="6391747486"/>
    <d v="2016-04-02T00:00:00"/>
    <n v="2101"/>
    <n v="2.0299999713897701"/>
    <n v="0"/>
    <n v="2.0277729034423801"/>
    <n v="2.0299999713897701"/>
    <n v="0"/>
    <n v="0"/>
    <n v="0"/>
    <n v="46"/>
    <n v="0"/>
    <n v="0"/>
    <n v="1394"/>
    <n v="2224"/>
    <x v="0"/>
    <x v="1"/>
    <x v="0"/>
  </r>
  <r>
    <n v="6391747486"/>
    <d v="2016-04-03T00:00:00"/>
    <n v="0"/>
    <n v="0"/>
    <n v="0"/>
    <n v="0"/>
    <n v="0"/>
    <n v="0"/>
    <n v="0"/>
    <n v="0"/>
    <n v="0"/>
    <n v="0"/>
    <n v="0"/>
    <n v="1440"/>
    <n v="1820"/>
    <x v="0"/>
    <x v="1"/>
    <x v="0"/>
  </r>
  <r>
    <n v="6391747486"/>
    <d v="2016-04-04T00:00:00"/>
    <n v="0"/>
    <n v="0"/>
    <n v="0"/>
    <n v="0"/>
    <n v="0"/>
    <n v="0"/>
    <n v="0"/>
    <n v="0"/>
    <n v="0"/>
    <n v="0"/>
    <n v="0"/>
    <n v="1440"/>
    <n v="1820"/>
    <x v="0"/>
    <x v="0"/>
    <x v="0"/>
  </r>
  <r>
    <n v="6391747486"/>
    <d v="2016-04-05T00:00:00"/>
    <n v="9766"/>
    <n v="7.5100002288818404"/>
    <n v="0.77999997138977095"/>
    <n v="6.7270569801330602"/>
    <n v="0"/>
    <n v="5.0000000745058101E-2"/>
    <n v="7.46000003814697"/>
    <n v="0"/>
    <n v="0"/>
    <n v="6"/>
    <n v="301"/>
    <n v="1133"/>
    <n v="2442"/>
    <x v="0"/>
    <x v="0"/>
    <x v="0"/>
  </r>
  <r>
    <n v="6391747486"/>
    <d v="2016-04-06T00:00:00"/>
    <n v="165"/>
    <n v="0.129999995231628"/>
    <n v="0.129999995231628"/>
    <n v="0"/>
    <n v="0"/>
    <n v="0"/>
    <n v="0.129999995231628"/>
    <n v="0"/>
    <n v="0"/>
    <n v="0"/>
    <n v="8"/>
    <n v="1432"/>
    <n v="1849"/>
    <x v="0"/>
    <x v="0"/>
    <x v="0"/>
  </r>
  <r>
    <n v="6391747486"/>
    <d v="2016-04-07T00:00:00"/>
    <n v="0"/>
    <n v="0"/>
    <n v="0"/>
    <n v="0"/>
    <n v="0"/>
    <n v="0"/>
    <n v="0"/>
    <n v="0"/>
    <n v="0"/>
    <n v="0"/>
    <n v="0"/>
    <n v="1440"/>
    <n v="1822"/>
    <x v="0"/>
    <x v="0"/>
    <x v="0"/>
  </r>
  <r>
    <n v="6391747486"/>
    <d v="2016-04-08T00:00:00"/>
    <n v="0"/>
    <n v="0"/>
    <n v="0"/>
    <n v="0"/>
    <n v="0"/>
    <n v="0"/>
    <n v="0"/>
    <n v="0"/>
    <n v="0"/>
    <n v="0"/>
    <n v="0"/>
    <n v="1440"/>
    <n v="1820"/>
    <x v="0"/>
    <x v="0"/>
    <x v="0"/>
  </r>
  <r>
    <n v="6391747486"/>
    <d v="2016-04-09T00:00:00"/>
    <n v="0"/>
    <n v="0"/>
    <n v="0"/>
    <n v="0"/>
    <n v="0"/>
    <n v="0"/>
    <n v="0"/>
    <n v="0"/>
    <n v="0"/>
    <n v="0"/>
    <n v="0"/>
    <n v="198"/>
    <n v="251"/>
    <x v="0"/>
    <x v="1"/>
    <x v="0"/>
  </r>
  <r>
    <n v="6775888955"/>
    <d v="2016-04-01T00:00:00"/>
    <n v="7225"/>
    <n v="5.1799998283386204"/>
    <n v="5.1799998283386204"/>
    <n v="0"/>
    <n v="1.7300000190734901"/>
    <n v="1.2699999809265099"/>
    <n v="2.1800000667571999"/>
    <n v="0"/>
    <n v="25"/>
    <n v="50"/>
    <n v="163"/>
    <n v="1189"/>
    <n v="3065"/>
    <x v="0"/>
    <x v="0"/>
    <x v="0"/>
  </r>
  <r>
    <n v="6775888955"/>
    <d v="2016-04-02T00:00:00"/>
    <n v="1988"/>
    <n v="1.4299999475479099"/>
    <n v="1.4299999475479099"/>
    <n v="0"/>
    <n v="0"/>
    <n v="0"/>
    <n v="1.4299999475479099"/>
    <n v="0"/>
    <n v="0"/>
    <n v="0"/>
    <n v="79"/>
    <n v="909"/>
    <n v="2207"/>
    <x v="0"/>
    <x v="1"/>
    <x v="0"/>
  </r>
  <r>
    <n v="6775888955"/>
    <d v="2016-04-03T00:00:00"/>
    <n v="1577"/>
    <n v="1.12999999523163"/>
    <n v="1.12999999523163"/>
    <n v="0"/>
    <n v="7.0000000298023196E-2"/>
    <n v="0.88999998569488503"/>
    <n v="0.17000000178813901"/>
    <n v="0"/>
    <n v="1"/>
    <n v="17"/>
    <n v="8"/>
    <n v="1414"/>
    <n v="1977"/>
    <x v="0"/>
    <x v="1"/>
    <x v="0"/>
  </r>
  <r>
    <n v="6775888955"/>
    <d v="2016-04-04T00:00:00"/>
    <n v="0"/>
    <n v="0"/>
    <n v="0"/>
    <n v="0"/>
    <n v="0"/>
    <n v="0"/>
    <n v="0"/>
    <n v="0"/>
    <n v="0"/>
    <n v="0"/>
    <n v="0"/>
    <n v="1440"/>
    <n v="1841"/>
    <x v="0"/>
    <x v="0"/>
    <x v="0"/>
  </r>
  <r>
    <n v="6775888955"/>
    <d v="2016-04-05T00:00:00"/>
    <n v="9348"/>
    <n v="6.6999998092651403"/>
    <n v="6.6999998092651403"/>
    <n v="0"/>
    <n v="1.12999999523163"/>
    <n v="2.03999996185303"/>
    <n v="3.1400001049041699"/>
    <n v="0"/>
    <n v="56"/>
    <n v="133"/>
    <n v="240"/>
    <n v="1011"/>
    <n v="4286"/>
    <x v="0"/>
    <x v="0"/>
    <x v="0"/>
  </r>
  <r>
    <n v="6775888955"/>
    <d v="2016-04-06T00:00:00"/>
    <n v="11761"/>
    <n v="8.4300003051757795"/>
    <n v="8.4300003051757795"/>
    <n v="0"/>
    <n v="1.3099999427795399"/>
    <n v="2.4400000572204599"/>
    <n v="4.6799998283386204"/>
    <n v="0"/>
    <n v="24"/>
    <n v="99"/>
    <n v="300"/>
    <n v="550"/>
    <n v="3920"/>
    <x v="0"/>
    <x v="0"/>
    <x v="0"/>
  </r>
  <r>
    <n v="6775888955"/>
    <d v="2016-04-07T00:00:00"/>
    <n v="13987"/>
    <n v="10.0299997329712"/>
    <n v="10.0299997329712"/>
    <n v="0"/>
    <n v="2.8699998855590798"/>
    <n v="3.3399999141693102"/>
    <n v="3.8199999332428001"/>
    <n v="0"/>
    <n v="46"/>
    <n v="114"/>
    <n v="250"/>
    <n v="739"/>
    <n v="3856"/>
    <x v="0"/>
    <x v="0"/>
    <x v="0"/>
  </r>
  <r>
    <n v="6775888955"/>
    <d v="2016-04-08T00:00:00"/>
    <n v="4131"/>
    <n v="2.96000003814697"/>
    <n v="2.96000003814697"/>
    <n v="0"/>
    <n v="1.37000000476837"/>
    <n v="0.61000001430511497"/>
    <n v="0.980000019073486"/>
    <n v="0"/>
    <n v="27"/>
    <n v="30"/>
    <n v="75"/>
    <n v="1308"/>
    <n v="2584"/>
    <x v="0"/>
    <x v="0"/>
    <x v="0"/>
  </r>
  <r>
    <n v="6775888955"/>
    <d v="2016-04-09T00:00:00"/>
    <n v="14"/>
    <n v="9.9999997764825804E-3"/>
    <n v="9.9999997764825804E-3"/>
    <n v="0"/>
    <n v="0"/>
    <n v="0"/>
    <n v="9.9999997764825804E-3"/>
    <n v="0"/>
    <n v="0"/>
    <n v="0"/>
    <n v="1"/>
    <n v="601"/>
    <n v="787"/>
    <x v="0"/>
    <x v="1"/>
    <x v="0"/>
  </r>
  <r>
    <n v="6962181067"/>
    <d v="2016-03-30T00:00:00"/>
    <n v="15491"/>
    <n v="10.2399997711182"/>
    <n v="10.2399997711182"/>
    <n v="0"/>
    <n v="1.28999996185303"/>
    <n v="4.4899997711181596"/>
    <n v="4.46000003814697"/>
    <n v="0"/>
    <n v="18"/>
    <n v="77"/>
    <n v="272"/>
    <n v="641"/>
    <n v="2244"/>
    <x v="0"/>
    <x v="0"/>
    <x v="0"/>
  </r>
  <r>
    <n v="6962181067"/>
    <d v="2016-03-31T00:00:00"/>
    <n v="14097"/>
    <n v="9.3199996948242205"/>
    <n v="9.3199996948242205"/>
    <n v="0"/>
    <n v="3.5"/>
    <n v="1.91999995708466"/>
    <n v="3.9000000953674299"/>
    <n v="0"/>
    <n v="50"/>
    <n v="32"/>
    <n v="234"/>
    <n v="595"/>
    <n v="2188"/>
    <x v="0"/>
    <x v="0"/>
    <x v="0"/>
  </r>
  <r>
    <n v="6962181067"/>
    <d v="2016-04-01T00:00:00"/>
    <n v="10467"/>
    <n v="6.9800000190734899"/>
    <n v="6.9800000190734899"/>
    <n v="0"/>
    <n v="0.69999998807907104"/>
    <n v="2.4300000667571999"/>
    <n v="3.8499999046325701"/>
    <n v="0"/>
    <n v="9"/>
    <n v="45"/>
    <n v="252"/>
    <n v="602"/>
    <n v="2014"/>
    <x v="0"/>
    <x v="0"/>
    <x v="0"/>
  </r>
  <r>
    <n v="6962181067"/>
    <d v="2016-04-02T00:00:00"/>
    <n v="12437"/>
    <n v="8.3000001907348597"/>
    <n v="8.3000001907348597"/>
    <n v="0"/>
    <n v="3.7599999904632599"/>
    <n v="1.28999996185303"/>
    <n v="3.2400000095367401"/>
    <n v="0"/>
    <n v="50"/>
    <n v="24"/>
    <n v="219"/>
    <n v="732"/>
    <n v="2115"/>
    <x v="0"/>
    <x v="1"/>
    <x v="0"/>
  </r>
  <r>
    <n v="6962181067"/>
    <d v="2016-04-03T00:00:00"/>
    <n v="12307"/>
    <n v="8.1400003433227504"/>
    <n v="8.1400003433227504"/>
    <n v="0"/>
    <n v="1.0099999904632599"/>
    <n v="3.2599999904632599"/>
    <n v="3.8699998855590798"/>
    <n v="0"/>
    <n v="14"/>
    <n v="51"/>
    <n v="218"/>
    <n v="589"/>
    <n v="2055"/>
    <x v="0"/>
    <x v="1"/>
    <x v="0"/>
  </r>
  <r>
    <n v="6962181067"/>
    <d v="2016-04-04T00:00:00"/>
    <n v="18952"/>
    <n v="12.800000190734901"/>
    <n v="12.800000190734901"/>
    <n v="0"/>
    <n v="5.9099998474121103"/>
    <n v="1.2300000190734901"/>
    <n v="5.6599998474121103"/>
    <n v="0"/>
    <n v="73"/>
    <n v="20"/>
    <n v="327"/>
    <n v="570"/>
    <n v="2437"/>
    <x v="0"/>
    <x v="0"/>
    <x v="0"/>
  </r>
  <r>
    <n v="6962181067"/>
    <d v="2016-04-05T00:00:00"/>
    <n v="12010"/>
    <n v="7.9400000572204599"/>
    <n v="7.9400000572204599"/>
    <n v="0"/>
    <n v="2.3800001144409202"/>
    <n v="0.94999998807907104"/>
    <n v="4.6100001335143999"/>
    <n v="0"/>
    <n v="38"/>
    <n v="17"/>
    <n v="287"/>
    <n v="692"/>
    <n v="2158"/>
    <x v="0"/>
    <x v="0"/>
    <x v="0"/>
  </r>
  <r>
    <n v="6962181067"/>
    <d v="2016-04-06T00:00:00"/>
    <n v="12480"/>
    <n v="8.8599996566772496"/>
    <n v="8.25"/>
    <n v="3.9727950096130402"/>
    <n v="4.1799998283386204"/>
    <n v="0.68999999761581399"/>
    <n v="4"/>
    <n v="0"/>
    <n v="55"/>
    <n v="14"/>
    <n v="276"/>
    <n v="593"/>
    <n v="2170"/>
    <x v="0"/>
    <x v="0"/>
    <x v="0"/>
  </r>
  <r>
    <n v="6962181067"/>
    <d v="2016-04-07T00:00:00"/>
    <n v="13417"/>
    <n v="9.6499996185302699"/>
    <n v="8.8699998855590803"/>
    <n v="1.92630195617676"/>
    <n v="3.3900001049041699"/>
    <n v="1.25"/>
    <n v="4.9099998474121103"/>
    <n v="0.10000000149011599"/>
    <n v="45"/>
    <n v="16"/>
    <n v="284"/>
    <n v="665"/>
    <n v="2244"/>
    <x v="0"/>
    <x v="0"/>
    <x v="0"/>
  </r>
  <r>
    <n v="6962181067"/>
    <d v="2016-04-08T00:00:00"/>
    <n v="14400"/>
    <n v="10.8800001144409"/>
    <n v="9.5200004577636701"/>
    <n v="5.4568638801574698"/>
    <n v="2.4700000286102299"/>
    <n v="2.8800001144409202"/>
    <n v="5.5300002098083496"/>
    <n v="0"/>
    <n v="27"/>
    <n v="37"/>
    <n v="276"/>
    <n v="697"/>
    <n v="2188"/>
    <x v="0"/>
    <x v="0"/>
    <x v="0"/>
  </r>
  <r>
    <n v="6962181067"/>
    <d v="2016-04-09T00:00:00"/>
    <n v="12495"/>
    <n v="8.2600002288818395"/>
    <n v="8.2600002288818395"/>
    <n v="0"/>
    <n v="2.21000003814697"/>
    <n v="1.0900000333786"/>
    <n v="4.96000003814697"/>
    <n v="0"/>
    <n v="33"/>
    <n v="19"/>
    <n v="324"/>
    <n v="609"/>
    <n v="2231"/>
    <x v="0"/>
    <x v="1"/>
    <x v="0"/>
  </r>
  <r>
    <n v="6962181067"/>
    <d v="2016-04-10T00:00:00"/>
    <n v="10148"/>
    <n v="6.71000003814697"/>
    <n v="6.71000003814697"/>
    <n v="0"/>
    <n v="1.3600000143051101"/>
    <n v="0.21999999880790699"/>
    <n v="5.1300001144409197"/>
    <n v="0"/>
    <n v="19"/>
    <n v="7"/>
    <n v="306"/>
    <n v="679"/>
    <n v="2100"/>
    <x v="0"/>
    <x v="1"/>
    <x v="0"/>
  </r>
  <r>
    <n v="6962181067"/>
    <d v="2016-04-11T00:00:00"/>
    <n v="12362"/>
    <n v="9.0900001525878906"/>
    <n v="8.1700000762939506"/>
    <n v="2.6964550018310498"/>
    <n v="1.0900000333786"/>
    <n v="2.7300000190734899"/>
    <n v="5.2699999809265101"/>
    <n v="0"/>
    <n v="21"/>
    <n v="38"/>
    <n v="297"/>
    <n v="678"/>
    <n v="2188"/>
    <x v="0"/>
    <x v="0"/>
    <x v="0"/>
  </r>
  <r>
    <n v="6962181067"/>
    <d v="2016-04-12T00:00:00"/>
    <n v="5893"/>
    <n v="3.9000000953674299"/>
    <n v="3.9000000953674299"/>
    <n v="0"/>
    <n v="2.8800001144409202"/>
    <n v="0.56000000238418601"/>
    <n v="0.46000000834464999"/>
    <n v="0"/>
    <n v="43"/>
    <n v="9"/>
    <n v="48"/>
    <n v="146"/>
    <n v="917"/>
    <x v="0"/>
    <x v="0"/>
    <x v="0"/>
  </r>
  <r>
    <n v="7007744171"/>
    <d v="2016-04-01T00:00:00"/>
    <n v="11680"/>
    <n v="9.0600004196166992"/>
    <n v="7.8099999427795401"/>
    <n v="4.9012827873229998"/>
    <n v="4.4899997711181596"/>
    <n v="0.33000001311302202"/>
    <n v="4.2399997711181596"/>
    <n v="0"/>
    <n v="50"/>
    <n v="7"/>
    <n v="244"/>
    <n v="1139"/>
    <n v="2573"/>
    <x v="0"/>
    <x v="0"/>
    <x v="0"/>
  </r>
  <r>
    <n v="7007744171"/>
    <d v="2016-04-02T00:00:00"/>
    <n v="10976"/>
    <n v="7.3400001525878897"/>
    <n v="7.3400001525878897"/>
    <n v="0"/>
    <n v="0.55000001192092896"/>
    <n v="0.67000001668930098"/>
    <n v="6.1300001144409197"/>
    <n v="0"/>
    <n v="9"/>
    <n v="16"/>
    <n v="271"/>
    <n v="1075"/>
    <n v="2575"/>
    <x v="0"/>
    <x v="1"/>
    <x v="0"/>
  </r>
  <r>
    <n v="7007744171"/>
    <d v="2016-04-03T00:00:00"/>
    <n v="16806"/>
    <n v="11.2399997711182"/>
    <n v="11.2399997711182"/>
    <n v="0"/>
    <n v="6.4099998474121103"/>
    <n v="1.37000000476837"/>
    <n v="3.4700000286102299"/>
    <n v="0"/>
    <n v="104"/>
    <n v="31"/>
    <n v="230"/>
    <n v="1002"/>
    <n v="3086"/>
    <x v="0"/>
    <x v="1"/>
    <x v="0"/>
  </r>
  <r>
    <n v="7007744171"/>
    <d v="2016-04-04T00:00:00"/>
    <n v="15266"/>
    <n v="11.3999996185303"/>
    <n v="10.210000038146999"/>
    <n v="5.1898498535156303"/>
    <n v="5.8000001907348597"/>
    <n v="0.75999999046325695"/>
    <n v="4.78999996185303"/>
    <n v="5.0000000745058101E-2"/>
    <n v="70"/>
    <n v="21"/>
    <n v="292"/>
    <n v="1057"/>
    <n v="2886"/>
    <x v="0"/>
    <x v="0"/>
    <x v="0"/>
  </r>
  <r>
    <n v="7007744171"/>
    <d v="2016-04-05T00:00:00"/>
    <n v="12084"/>
    <n v="9.1400003433227504"/>
    <n v="8.0799999237060494"/>
    <n v="4.8363800048828098"/>
    <n v="4.3899998664856001"/>
    <n v="0.46000000834464999"/>
    <n v="4.28999996185303"/>
    <n v="0"/>
    <n v="50"/>
    <n v="6"/>
    <n v="284"/>
    <n v="1030"/>
    <n v="2676"/>
    <x v="0"/>
    <x v="0"/>
    <x v="0"/>
  </r>
  <r>
    <n v="7007744171"/>
    <d v="2016-04-06T00:00:00"/>
    <n v="13513"/>
    <n v="10.25"/>
    <n v="9.0699996948242205"/>
    <n v="4.8357200622558603"/>
    <n v="5.3499999046325701"/>
    <n v="0.33000001311302202"/>
    <n v="4.5599999427795401"/>
    <n v="0"/>
    <n v="64"/>
    <n v="8"/>
    <n v="270"/>
    <n v="1098"/>
    <n v="2811"/>
    <x v="0"/>
    <x v="0"/>
    <x v="0"/>
  </r>
  <r>
    <n v="7007744171"/>
    <d v="2016-04-07T00:00:00"/>
    <n v="14100"/>
    <n v="10.579999923706101"/>
    <n v="9.4300003051757795"/>
    <n v="4.8759899139404297"/>
    <n v="5.0999999046325701"/>
    <n v="1.1900000572204601"/>
    <n v="4.2800002098083496"/>
    <n v="0"/>
    <n v="61"/>
    <n v="33"/>
    <n v="265"/>
    <n v="1015"/>
    <n v="2840"/>
    <x v="0"/>
    <x v="0"/>
    <x v="0"/>
  </r>
  <r>
    <n v="7007744171"/>
    <d v="2016-04-08T00:00:00"/>
    <n v="12627"/>
    <n v="9.6499996185302699"/>
    <n v="8.4499998092651403"/>
    <n v="4.8423199653625497"/>
    <n v="4.6999998092651403"/>
    <n v="0.74000000953674305"/>
    <n v="4.21000003814697"/>
    <n v="0"/>
    <n v="54"/>
    <n v="22"/>
    <n v="301"/>
    <n v="1063"/>
    <n v="2871"/>
    <x v="0"/>
    <x v="0"/>
    <x v="0"/>
  </r>
  <r>
    <n v="7007744171"/>
    <d v="2016-04-09T00:00:00"/>
    <n v="10345"/>
    <n v="6.9200000762939498"/>
    <n v="6.9200000762939498"/>
    <n v="0"/>
    <n v="7.0000000298023196E-2"/>
    <n v="0.270000010728836"/>
    <n v="6.5799999237060502"/>
    <n v="0"/>
    <n v="2"/>
    <n v="6"/>
    <n v="358"/>
    <n v="1074"/>
    <n v="2613"/>
    <x v="0"/>
    <x v="1"/>
    <x v="0"/>
  </r>
  <r>
    <n v="7007744171"/>
    <d v="2016-04-10T00:00:00"/>
    <n v="10146"/>
    <n v="6.78999996185303"/>
    <n v="6.78999996185303"/>
    <n v="0"/>
    <n v="7.0000000298023196E-2"/>
    <n v="0.61000001430511497"/>
    <n v="6.1100001335143999"/>
    <n v="0"/>
    <n v="1"/>
    <n v="12"/>
    <n v="397"/>
    <n v="1030"/>
    <n v="2700"/>
    <x v="0"/>
    <x v="1"/>
    <x v="0"/>
  </r>
  <r>
    <n v="7007744171"/>
    <d v="2016-04-11T00:00:00"/>
    <n v="12168"/>
    <n v="8.1400003433227504"/>
    <n v="8.1400003433227504"/>
    <n v="0"/>
    <n v="1.04999995231628"/>
    <n v="0.79000002145767201"/>
    <n v="6.28999996185303"/>
    <n v="0"/>
    <n v="18"/>
    <n v="27"/>
    <n v="375"/>
    <n v="1020"/>
    <n v="2871"/>
    <x v="0"/>
    <x v="0"/>
    <x v="0"/>
  </r>
  <r>
    <n v="7007744171"/>
    <d v="2016-04-12T00:00:00"/>
    <n v="7413"/>
    <n v="5.7699999809265101"/>
    <n v="4.96000003814697"/>
    <n v="4.8697829246520996"/>
    <n v="4.5"/>
    <n v="0.34000000357627902"/>
    <n v="0.93999999761581399"/>
    <n v="0"/>
    <n v="53"/>
    <n v="6"/>
    <n v="43"/>
    <n v="405"/>
    <n v="1023"/>
    <x v="0"/>
    <x v="0"/>
    <x v="0"/>
  </r>
  <r>
    <n v="7086361926"/>
    <d v="2016-04-01T00:00:00"/>
    <n v="11463"/>
    <n v="7.6700000762939498"/>
    <n v="7.6700000762939498"/>
    <n v="0"/>
    <n v="2.8299999237060498"/>
    <n v="1.8899999856948899"/>
    <n v="2.9300000667571999"/>
    <n v="0"/>
    <n v="38"/>
    <n v="30"/>
    <n v="154"/>
    <n v="777"/>
    <n v="2496"/>
    <x v="0"/>
    <x v="0"/>
    <x v="0"/>
  </r>
  <r>
    <n v="7086361926"/>
    <d v="2016-04-02T00:00:00"/>
    <n v="87"/>
    <n v="1.9999999552965199E-2"/>
    <n v="1.9999999552965199E-2"/>
    <n v="0"/>
    <n v="0"/>
    <n v="0"/>
    <n v="9.9999997764825804E-3"/>
    <n v="0"/>
    <n v="0"/>
    <n v="0"/>
    <n v="2"/>
    <n v="872"/>
    <n v="1641"/>
    <x v="0"/>
    <x v="1"/>
    <x v="0"/>
  </r>
  <r>
    <n v="7086361926"/>
    <d v="2016-04-03T00:00:00"/>
    <n v="1949"/>
    <n v="1.3099999427795399"/>
    <n v="1.3099999427795399"/>
    <n v="0"/>
    <n v="0.230000004172325"/>
    <n v="0.34999999403953602"/>
    <n v="0.730000019073486"/>
    <n v="0"/>
    <n v="3"/>
    <n v="6"/>
    <n v="27"/>
    <n v="1404"/>
    <n v="1794"/>
    <x v="0"/>
    <x v="1"/>
    <x v="0"/>
  </r>
  <r>
    <n v="7086361926"/>
    <d v="2016-04-04T00:00:00"/>
    <n v="6101"/>
    <n v="3.8699998855590798"/>
    <n v="3.8699998855590798"/>
    <n v="0"/>
    <n v="0.52999997138977095"/>
    <n v="0.230000004172325"/>
    <n v="3.0999999046325701"/>
    <n v="0"/>
    <n v="31"/>
    <n v="24"/>
    <n v="138"/>
    <n v="1247"/>
    <n v="2421"/>
    <x v="0"/>
    <x v="0"/>
    <x v="0"/>
  </r>
  <r>
    <n v="7086361926"/>
    <d v="2016-04-05T00:00:00"/>
    <n v="7478"/>
    <n v="4.9899997711181596"/>
    <n v="4.9899997711181596"/>
    <n v="0"/>
    <n v="1.79999995231628"/>
    <n v="0.52999997138977095"/>
    <n v="2.6099998950958301"/>
    <n v="2.9999999329447701E-2"/>
    <n v="25"/>
    <n v="33"/>
    <n v="132"/>
    <n v="1159"/>
    <n v="2439"/>
    <x v="0"/>
    <x v="0"/>
    <x v="0"/>
  </r>
  <r>
    <n v="7086361926"/>
    <d v="2016-04-06T00:00:00"/>
    <n v="7352"/>
    <n v="4.7300000190734899"/>
    <n v="4.7300000190734899"/>
    <n v="0"/>
    <n v="1.4099999666214"/>
    <n v="0.77999997138977095"/>
    <n v="2.5299999713897701"/>
    <n v="0"/>
    <n v="19"/>
    <n v="14"/>
    <n v="124"/>
    <n v="814"/>
    <n v="2233"/>
    <x v="0"/>
    <x v="0"/>
    <x v="0"/>
  </r>
  <r>
    <n v="7086361926"/>
    <d v="2016-04-07T00:00:00"/>
    <n v="14604"/>
    <n v="10.819999694824199"/>
    <n v="10.819999694824199"/>
    <n v="0"/>
    <n v="7.2300000190734899"/>
    <n v="1.12000000476837"/>
    <n v="2.4300000667571999"/>
    <n v="2.9999999329447701E-2"/>
    <n v="76"/>
    <n v="30"/>
    <n v="127"/>
    <n v="695"/>
    <n v="2862"/>
    <x v="0"/>
    <x v="0"/>
    <x v="0"/>
  </r>
  <r>
    <n v="7086361926"/>
    <d v="2016-04-08T00:00:00"/>
    <n v="9634"/>
    <n v="6.5199999809265101"/>
    <n v="6.5199999809265101"/>
    <n v="0"/>
    <n v="2.5"/>
    <n v="1.3999999761581401"/>
    <n v="2.5899999141693102"/>
    <n v="0"/>
    <n v="50"/>
    <n v="48"/>
    <n v="140"/>
    <n v="797"/>
    <n v="2752"/>
    <x v="0"/>
    <x v="0"/>
    <x v="0"/>
  </r>
  <r>
    <n v="7086361926"/>
    <d v="2016-04-09T00:00:00"/>
    <n v="7338"/>
    <n v="4.6700000762939498"/>
    <n v="4.6700000762939498"/>
    <n v="0"/>
    <n v="1.08000004291534"/>
    <n v="0.129999995231628"/>
    <n v="3.46000003814697"/>
    <n v="0"/>
    <n v="27"/>
    <n v="5"/>
    <n v="204"/>
    <n v="717"/>
    <n v="2519"/>
    <x v="0"/>
    <x v="1"/>
    <x v="0"/>
  </r>
  <r>
    <n v="7086361926"/>
    <d v="2016-04-10T00:00:00"/>
    <n v="569"/>
    <n v="0.34999999403953602"/>
    <n v="0.34999999403953602"/>
    <n v="0"/>
    <n v="0"/>
    <n v="0"/>
    <n v="0.34000000357627902"/>
    <n v="0"/>
    <n v="0"/>
    <n v="0"/>
    <n v="27"/>
    <n v="1368"/>
    <n v="1799"/>
    <x v="0"/>
    <x v="1"/>
    <x v="0"/>
  </r>
  <r>
    <n v="7086361926"/>
    <d v="2016-04-11T00:00:00"/>
    <n v="6242"/>
    <n v="3.9200000762939502"/>
    <n v="3.9200000762939502"/>
    <n v="0"/>
    <n v="0.74000000953674305"/>
    <n v="0.230000004172325"/>
    <n v="2.9300000667571999"/>
    <n v="0"/>
    <n v="46"/>
    <n v="22"/>
    <n v="126"/>
    <n v="741"/>
    <n v="2543"/>
    <x v="0"/>
    <x v="0"/>
    <x v="0"/>
  </r>
  <r>
    <n v="7086361926"/>
    <d v="2016-04-12T00:00:00"/>
    <n v="430"/>
    <n v="0.259999990463257"/>
    <n v="0.259999990463257"/>
    <n v="0"/>
    <n v="0"/>
    <n v="0"/>
    <n v="0.259999990463257"/>
    <n v="0"/>
    <n v="0"/>
    <n v="0"/>
    <n v="14"/>
    <n v="75"/>
    <n v="625"/>
    <x v="0"/>
    <x v="0"/>
    <x v="0"/>
  </r>
  <r>
    <n v="8053475328"/>
    <d v="2016-04-02T00:00:00"/>
    <n v="20188"/>
    <n v="15.6199998855591"/>
    <n v="15.6199998855591"/>
    <n v="0"/>
    <n v="12.060000419616699"/>
    <n v="0.85000002384185802"/>
    <n v="2.71000003814697"/>
    <n v="0"/>
    <n v="124"/>
    <n v="19"/>
    <n v="172"/>
    <n v="1125"/>
    <n v="3377"/>
    <x v="0"/>
    <x v="1"/>
    <x v="0"/>
  </r>
  <r>
    <n v="8053475328"/>
    <d v="2016-04-03T00:00:00"/>
    <n v="25701"/>
    <n v="20.139999389648398"/>
    <n v="20.139999389648398"/>
    <n v="0"/>
    <n v="16.819999694824201"/>
    <n v="1.62999999523163"/>
    <n v="1.6900000572204601"/>
    <n v="0"/>
    <n v="165"/>
    <n v="36"/>
    <n v="97"/>
    <n v="1142"/>
    <n v="3697"/>
    <x v="0"/>
    <x v="1"/>
    <x v="0"/>
  </r>
  <r>
    <n v="8053475328"/>
    <d v="2016-04-04T00:00:00"/>
    <n v="17395"/>
    <n v="13.210000038146999"/>
    <n v="13.210000038146999"/>
    <n v="0"/>
    <n v="9.6700000762939506"/>
    <n v="0.18000000715255701"/>
    <n v="3.3499999046325701"/>
    <n v="0"/>
    <n v="100"/>
    <n v="4"/>
    <n v="213"/>
    <n v="1123"/>
    <n v="3209"/>
    <x v="0"/>
    <x v="0"/>
    <x v="0"/>
  </r>
  <r>
    <n v="8053475328"/>
    <d v="2016-04-05T00:00:00"/>
    <n v="17167"/>
    <n v="13.4099998474121"/>
    <n v="13.4099998474121"/>
    <n v="0"/>
    <n v="9.9600000381469709"/>
    <n v="0.31000000238418601"/>
    <n v="3.1400001049041699"/>
    <n v="0"/>
    <n v="98"/>
    <n v="8"/>
    <n v="184"/>
    <n v="1150"/>
    <n v="3167"/>
    <x v="0"/>
    <x v="0"/>
    <x v="0"/>
  </r>
  <r>
    <n v="8053475328"/>
    <d v="2016-04-06T00:00:00"/>
    <n v="16435"/>
    <n v="12.420000076293899"/>
    <n v="12.420000076293899"/>
    <n v="0"/>
    <n v="8.9600000381469709"/>
    <n v="0.55000001192092896"/>
    <n v="2.9100000858306898"/>
    <n v="0"/>
    <n v="100"/>
    <n v="14"/>
    <n v="191"/>
    <n v="1135"/>
    <n v="3122"/>
    <x v="0"/>
    <x v="0"/>
    <x v="0"/>
  </r>
  <r>
    <n v="8053475328"/>
    <d v="2016-04-07T00:00:00"/>
    <n v="17078"/>
    <n v="13.199999809265099"/>
    <n v="13.199999809265099"/>
    <n v="0"/>
    <n v="9.9700002670288104"/>
    <n v="0.239999994635582"/>
    <n v="2.9900000095367401"/>
    <n v="0"/>
    <n v="101"/>
    <n v="6"/>
    <n v="190"/>
    <n v="1143"/>
    <n v="3176"/>
    <x v="0"/>
    <x v="0"/>
    <x v="0"/>
  </r>
  <r>
    <n v="8053475328"/>
    <d v="2016-04-08T00:00:00"/>
    <n v="11693"/>
    <n v="9.5399999618530291"/>
    <n v="9.5399999618530291"/>
    <n v="0"/>
    <n v="6.7699999809265101"/>
    <n v="0.259999990463257"/>
    <n v="2.5"/>
    <n v="0"/>
    <n v="60"/>
    <n v="6"/>
    <n v="153"/>
    <n v="1221"/>
    <n v="2790"/>
    <x v="0"/>
    <x v="0"/>
    <x v="0"/>
  </r>
  <r>
    <n v="8053475328"/>
    <d v="2016-04-09T00:00:00"/>
    <n v="11159"/>
    <n v="9.1400003433227504"/>
    <n v="9.1400003433227504"/>
    <n v="0"/>
    <n v="6.6900000572204599"/>
    <n v="0.25"/>
    <n v="2.1900000572204599"/>
    <n v="0"/>
    <n v="59"/>
    <n v="6"/>
    <n v="120"/>
    <n v="1255"/>
    <n v="2715"/>
    <x v="0"/>
    <x v="1"/>
    <x v="0"/>
  </r>
  <r>
    <n v="8053475328"/>
    <d v="2016-04-10T00:00:00"/>
    <n v="10118"/>
    <n v="7.7300000190734899"/>
    <n v="7.7300000190734899"/>
    <n v="0"/>
    <n v="3.0499999523162802"/>
    <n v="0.80000001192092896"/>
    <n v="3.8800001144409202"/>
    <n v="0"/>
    <n v="30"/>
    <n v="18"/>
    <n v="207"/>
    <n v="1185"/>
    <n v="2684"/>
    <x v="0"/>
    <x v="1"/>
    <x v="0"/>
  </r>
  <r>
    <n v="8053475328"/>
    <d v="2016-04-11T00:00:00"/>
    <n v="16064"/>
    <n v="12.7200002670288"/>
    <n v="12.7200002670288"/>
    <n v="0"/>
    <n v="9.9799995422363299"/>
    <n v="0.36000001430511502"/>
    <n v="2.3800001144409202"/>
    <n v="0"/>
    <n v="96"/>
    <n v="8"/>
    <n v="155"/>
    <n v="1181"/>
    <n v="3097"/>
    <x v="0"/>
    <x v="0"/>
    <x v="0"/>
  </r>
  <r>
    <n v="8053475328"/>
    <d v="2016-04-12T00:00:00"/>
    <n v="290"/>
    <n v="0.20999999344348899"/>
    <n v="0.20999999344348899"/>
    <n v="0"/>
    <n v="0"/>
    <n v="0"/>
    <n v="0.20999999344348899"/>
    <n v="0"/>
    <n v="0"/>
    <n v="0"/>
    <n v="16"/>
    <n v="599"/>
    <n v="791"/>
    <x v="0"/>
    <x v="0"/>
    <x v="0"/>
  </r>
  <r>
    <n v="8253242879"/>
    <d v="2016-04-01T00:00:00"/>
    <n v="0"/>
    <n v="0"/>
    <n v="0"/>
    <n v="0"/>
    <n v="0"/>
    <n v="0"/>
    <n v="0"/>
    <n v="0"/>
    <n v="0"/>
    <n v="0"/>
    <n v="0"/>
    <n v="1440"/>
    <n v="1429"/>
    <x v="0"/>
    <x v="0"/>
    <x v="0"/>
  </r>
  <r>
    <n v="8253242879"/>
    <d v="2016-04-02T00:00:00"/>
    <n v="0"/>
    <n v="0"/>
    <n v="0"/>
    <n v="0"/>
    <n v="0"/>
    <n v="0"/>
    <n v="0"/>
    <n v="0"/>
    <n v="0"/>
    <n v="0"/>
    <n v="0"/>
    <n v="1440"/>
    <n v="1429"/>
    <x v="0"/>
    <x v="1"/>
    <x v="0"/>
  </r>
  <r>
    <n v="8253242879"/>
    <d v="2016-04-03T00:00:00"/>
    <n v="0"/>
    <n v="0"/>
    <n v="0"/>
    <n v="0"/>
    <n v="0"/>
    <n v="0"/>
    <n v="0"/>
    <n v="0"/>
    <n v="0"/>
    <n v="0"/>
    <n v="0"/>
    <n v="1440"/>
    <n v="1429"/>
    <x v="0"/>
    <x v="1"/>
    <x v="0"/>
  </r>
  <r>
    <n v="8253242879"/>
    <d v="2016-04-04T00:00:00"/>
    <n v="0"/>
    <n v="0"/>
    <n v="0"/>
    <n v="0"/>
    <n v="0"/>
    <n v="0"/>
    <n v="0"/>
    <n v="0"/>
    <n v="0"/>
    <n v="0"/>
    <n v="0"/>
    <n v="1440"/>
    <n v="1429"/>
    <x v="0"/>
    <x v="0"/>
    <x v="0"/>
  </r>
  <r>
    <n v="8253242879"/>
    <d v="2016-04-05T00:00:00"/>
    <n v="0"/>
    <n v="0"/>
    <n v="0"/>
    <n v="0"/>
    <n v="0"/>
    <n v="0"/>
    <n v="0"/>
    <n v="0"/>
    <n v="0"/>
    <n v="0"/>
    <n v="0"/>
    <n v="1440"/>
    <n v="1429"/>
    <x v="0"/>
    <x v="0"/>
    <x v="0"/>
  </r>
  <r>
    <n v="8253242879"/>
    <d v="2016-04-06T00:00:00"/>
    <n v="1931"/>
    <n v="1.2799999713897701"/>
    <n v="1.2799999713897701"/>
    <n v="0"/>
    <n v="0"/>
    <n v="0"/>
    <n v="1.2799999713897701"/>
    <n v="0"/>
    <n v="0"/>
    <n v="0"/>
    <n v="94"/>
    <n v="1346"/>
    <n v="1607"/>
    <x v="0"/>
    <x v="0"/>
    <x v="0"/>
  </r>
  <r>
    <n v="8253242879"/>
    <d v="2016-04-07T00:00:00"/>
    <n v="5181"/>
    <n v="3.4200000762939502"/>
    <n v="3.4200000762939502"/>
    <n v="0"/>
    <n v="1"/>
    <n v="0.91000002622604403"/>
    <n v="1.5099999904632599"/>
    <n v="9.9999997764825804E-3"/>
    <n v="15"/>
    <n v="15"/>
    <n v="107"/>
    <n v="1303"/>
    <n v="1776"/>
    <x v="0"/>
    <x v="0"/>
    <x v="0"/>
  </r>
  <r>
    <n v="8253242879"/>
    <d v="2016-04-08T00:00:00"/>
    <n v="12026"/>
    <n v="9.1499996185302699"/>
    <n v="9.1499996185302699"/>
    <n v="0"/>
    <n v="5.6999998092651403"/>
    <n v="0.93000000715255704"/>
    <n v="2.5099999904632599"/>
    <n v="0"/>
    <n v="47"/>
    <n v="13"/>
    <n v="150"/>
    <n v="1230"/>
    <n v="2162"/>
    <x v="0"/>
    <x v="0"/>
    <x v="0"/>
  </r>
  <r>
    <n v="8253242879"/>
    <d v="2016-04-09T00:00:00"/>
    <n v="5360"/>
    <n v="3.53999996185303"/>
    <n v="3.53999996185303"/>
    <n v="0"/>
    <n v="0.54000002145767201"/>
    <n v="1.54999995231628"/>
    <n v="1.46000003814697"/>
    <n v="0"/>
    <n v="8"/>
    <n v="28"/>
    <n v="148"/>
    <n v="1256"/>
    <n v="1832"/>
    <x v="0"/>
    <x v="1"/>
    <x v="0"/>
  </r>
  <r>
    <n v="8253242879"/>
    <d v="2016-04-10T00:00:00"/>
    <n v="2545"/>
    <n v="1.6799999475479099"/>
    <n v="1.6799999475479099"/>
    <n v="0"/>
    <n v="0"/>
    <n v="0"/>
    <n v="1.66999995708466"/>
    <n v="1.9999999552965199E-2"/>
    <n v="0"/>
    <n v="0"/>
    <n v="126"/>
    <n v="1314"/>
    <n v="1657"/>
    <x v="0"/>
    <x v="1"/>
    <x v="0"/>
  </r>
  <r>
    <n v="8253242879"/>
    <d v="2016-04-11T00:00:00"/>
    <n v="1636"/>
    <n v="1.08000004291534"/>
    <n v="1.08000004291534"/>
    <n v="0"/>
    <n v="0"/>
    <n v="0"/>
    <n v="1.08000004291534"/>
    <n v="0"/>
    <n v="0"/>
    <n v="0"/>
    <n v="86"/>
    <n v="1139"/>
    <n v="1377"/>
    <x v="0"/>
    <x v="0"/>
    <x v="0"/>
  </r>
  <r>
    <n v="8253242879"/>
    <d v="2016-04-12T00:00:00"/>
    <n v="0"/>
    <n v="0"/>
    <n v="0"/>
    <n v="0"/>
    <n v="0"/>
    <n v="0"/>
    <n v="0"/>
    <n v="0"/>
    <n v="0"/>
    <n v="0"/>
    <n v="0"/>
    <n v="1440"/>
    <n v="0"/>
    <x v="0"/>
    <x v="0"/>
    <x v="0"/>
  </r>
  <r>
    <n v="8378563200"/>
    <d v="2016-04-01T00:00:00"/>
    <n v="14179"/>
    <n v="11.2399997711182"/>
    <n v="11.2399997711182"/>
    <n v="0"/>
    <n v="6.2300000190734899"/>
    <n v="1.0599999427795399"/>
    <n v="3.96000003814697"/>
    <n v="0"/>
    <n v="73"/>
    <n v="21"/>
    <n v="195"/>
    <n v="719"/>
    <n v="3669"/>
    <x v="0"/>
    <x v="0"/>
    <x v="0"/>
  </r>
  <r>
    <n v="8378563200"/>
    <d v="2016-04-02T00:00:00"/>
    <n v="3358"/>
    <n v="2.6600000858306898"/>
    <n v="2.6600000858306898"/>
    <n v="0"/>
    <n v="0"/>
    <n v="0"/>
    <n v="2.6600000858306898"/>
    <n v="0"/>
    <n v="0"/>
    <n v="0"/>
    <n v="144"/>
    <n v="657"/>
    <n v="2702"/>
    <x v="0"/>
    <x v="1"/>
    <x v="0"/>
  </r>
  <r>
    <n v="8378563200"/>
    <d v="2016-04-03T00:00:00"/>
    <n v="9152"/>
    <n v="7.2600002288818404"/>
    <n v="7.2600002288818404"/>
    <n v="0"/>
    <n v="1.9900000095367401"/>
    <n v="0.81999999284744296"/>
    <n v="4.4499998092651403"/>
    <n v="0"/>
    <n v="25"/>
    <n v="13"/>
    <n v="243"/>
    <n v="600"/>
    <n v="3304"/>
    <x v="0"/>
    <x v="1"/>
    <x v="0"/>
  </r>
  <r>
    <n v="8378563200"/>
    <d v="2016-04-04T00:00:00"/>
    <n v="13935"/>
    <n v="11.050000190734901"/>
    <n v="11.050000190734901"/>
    <n v="2.0921471118927002"/>
    <n v="4.0900001525878897"/>
    <n v="0.79000002145767201"/>
    <n v="6.1700000762939498"/>
    <n v="0"/>
    <n v="105"/>
    <n v="16"/>
    <n v="220"/>
    <n v="658"/>
    <n v="4234"/>
    <x v="0"/>
    <x v="0"/>
    <x v="0"/>
  </r>
  <r>
    <n v="8378563200"/>
    <d v="2016-04-05T00:00:00"/>
    <n v="12846"/>
    <n v="10.189999580383301"/>
    <n v="10.189999580383301"/>
    <n v="2.2530810832977299"/>
    <n v="5"/>
    <n v="0.75"/>
    <n v="4.4400000572204599"/>
    <n v="0"/>
    <n v="113"/>
    <n v="15"/>
    <n v="189"/>
    <n v="686"/>
    <n v="4128"/>
    <x v="0"/>
    <x v="0"/>
    <x v="0"/>
  </r>
  <r>
    <n v="8378563200"/>
    <d v="2016-04-06T00:00:00"/>
    <n v="9124"/>
    <n v="7.2399997711181596"/>
    <n v="7.2399997711181596"/>
    <n v="2.0921471118927002"/>
    <n v="0"/>
    <n v="0.25"/>
    <n v="6.9899997711181596"/>
    <n v="0"/>
    <n v="55"/>
    <n v="6"/>
    <n v="230"/>
    <n v="728"/>
    <n v="3798"/>
    <x v="0"/>
    <x v="0"/>
    <x v="0"/>
  </r>
  <r>
    <n v="8378563200"/>
    <d v="2016-04-07T00:00:00"/>
    <n v="9725"/>
    <n v="7.71000003814697"/>
    <n v="7.71000003814697"/>
    <n v="2.2530810832977299"/>
    <n v="2.4100000858306898"/>
    <n v="0.52999997138977095"/>
    <n v="4.7699999809265101"/>
    <n v="0"/>
    <n v="83"/>
    <n v="11"/>
    <n v="181"/>
    <n v="670"/>
    <n v="3839"/>
    <x v="0"/>
    <x v="0"/>
    <x v="0"/>
  </r>
  <r>
    <n v="8378563200"/>
    <d v="2016-04-08T00:00:00"/>
    <n v="8350"/>
    <n v="6.6199998855590803"/>
    <n v="6.6199998855590803"/>
    <n v="2.0921471118927002"/>
    <n v="1.4900000095367401"/>
    <n v="0.52999997138977095"/>
    <n v="4.6100001335143999"/>
    <n v="0"/>
    <n v="72"/>
    <n v="10"/>
    <n v="167"/>
    <n v="868"/>
    <n v="3713"/>
    <x v="0"/>
    <x v="0"/>
    <x v="0"/>
  </r>
  <r>
    <n v="8378563200"/>
    <d v="2016-04-09T00:00:00"/>
    <n v="2240"/>
    <n v="1.7799999713897701"/>
    <n v="1.7799999713897701"/>
    <n v="0"/>
    <n v="0"/>
    <n v="0"/>
    <n v="1.7799999713897701"/>
    <n v="0"/>
    <n v="0"/>
    <n v="0"/>
    <n v="110"/>
    <n v="843"/>
    <n v="2606"/>
    <x v="0"/>
    <x v="1"/>
    <x v="0"/>
  </r>
  <r>
    <n v="8378563200"/>
    <d v="2016-04-10T00:00:00"/>
    <n v="2631"/>
    <n v="2.0899999141693102"/>
    <n v="2.0899999141693102"/>
    <n v="0"/>
    <n v="0"/>
    <n v="0"/>
    <n v="2.0899999141693102"/>
    <n v="0"/>
    <n v="0"/>
    <n v="0"/>
    <n v="117"/>
    <n v="727"/>
    <n v="2624"/>
    <x v="0"/>
    <x v="1"/>
    <x v="0"/>
  </r>
  <r>
    <n v="8378563200"/>
    <d v="2016-04-11T00:00:00"/>
    <n v="8837"/>
    <n v="7.0100002288818404"/>
    <n v="7.0100002288818404"/>
    <n v="2.0921471118927002"/>
    <n v="1.53999996185303"/>
    <n v="0.87999999523162797"/>
    <n v="4.5900001525878897"/>
    <n v="0"/>
    <n v="74"/>
    <n v="17"/>
    <n v="182"/>
    <n v="811"/>
    <n v="3775"/>
    <x v="0"/>
    <x v="0"/>
    <x v="0"/>
  </r>
  <r>
    <n v="8378563200"/>
    <d v="2016-04-12T00:00:00"/>
    <n v="3246"/>
    <n v="2.5699999332428001"/>
    <n v="2.5699999332428001"/>
    <n v="2.2530810832977299"/>
    <n v="0.82999998331069902"/>
    <n v="0.70999997854232799"/>
    <n v="1.0299999713897701"/>
    <n v="0"/>
    <n v="65"/>
    <n v="15"/>
    <n v="49"/>
    <n v="243"/>
    <n v="1882"/>
    <x v="0"/>
    <x v="0"/>
    <x v="0"/>
  </r>
  <r>
    <n v="8583815059"/>
    <d v="2016-04-01T00:00:00"/>
    <n v="2174"/>
    <n v="1.70000004768372"/>
    <n v="1.70000004768372"/>
    <n v="0"/>
    <n v="0"/>
    <n v="0"/>
    <n v="1.70000004768372"/>
    <n v="0"/>
    <n v="0"/>
    <n v="0"/>
    <n v="112"/>
    <n v="1328"/>
    <n v="2360"/>
    <x v="0"/>
    <x v="0"/>
    <x v="0"/>
  </r>
  <r>
    <n v="8583815059"/>
    <d v="2016-04-02T00:00:00"/>
    <n v="3494"/>
    <n v="2.7300000190734899"/>
    <n v="2.7300000190734899"/>
    <n v="0"/>
    <n v="0"/>
    <n v="0"/>
    <n v="2.6900000572204599"/>
    <n v="0"/>
    <n v="0"/>
    <n v="0"/>
    <n v="166"/>
    <n v="1274"/>
    <n v="2517"/>
    <x v="0"/>
    <x v="1"/>
    <x v="0"/>
  </r>
  <r>
    <n v="8583815059"/>
    <d v="2016-04-03T00:00:00"/>
    <n v="2380"/>
    <n v="1.8600000143051101"/>
    <n v="1.8600000143051101"/>
    <n v="0"/>
    <n v="0"/>
    <n v="0"/>
    <n v="1.8600000143051101"/>
    <n v="0"/>
    <n v="0"/>
    <n v="0"/>
    <n v="131"/>
    <n v="1309"/>
    <n v="2400"/>
    <x v="0"/>
    <x v="1"/>
    <x v="0"/>
  </r>
  <r>
    <n v="8583815059"/>
    <d v="2016-04-04T00:00:00"/>
    <n v="3159"/>
    <n v="2.46000003814697"/>
    <n v="2.46000003814697"/>
    <n v="0"/>
    <n v="0"/>
    <n v="0"/>
    <n v="2.46000003814697"/>
    <n v="0"/>
    <n v="0"/>
    <n v="0"/>
    <n v="147"/>
    <n v="1293"/>
    <n v="2462"/>
    <x v="0"/>
    <x v="0"/>
    <x v="0"/>
  </r>
  <r>
    <n v="8583815059"/>
    <d v="2016-04-05T00:00:00"/>
    <n v="6835"/>
    <n v="5.3299999237060502"/>
    <n v="5.3299999237060502"/>
    <n v="0"/>
    <n v="0.37000000476837203"/>
    <n v="0.730000019073486"/>
    <n v="4.2399997711181596"/>
    <n v="0"/>
    <n v="5"/>
    <n v="15"/>
    <n v="212"/>
    <n v="1208"/>
    <n v="2786"/>
    <x v="0"/>
    <x v="0"/>
    <x v="0"/>
  </r>
  <r>
    <n v="8583815059"/>
    <d v="2016-04-06T00:00:00"/>
    <n v="2098"/>
    <n v="1.6399999856948899"/>
    <n v="1.6399999856948899"/>
    <n v="0"/>
    <n v="0"/>
    <n v="0"/>
    <n v="1.62999999523163"/>
    <n v="0"/>
    <n v="0"/>
    <n v="0"/>
    <n v="112"/>
    <n v="1328"/>
    <n v="2354"/>
    <x v="0"/>
    <x v="0"/>
    <x v="0"/>
  </r>
  <r>
    <n v="8583815059"/>
    <d v="2016-04-07T00:00:00"/>
    <n v="2816"/>
    <n v="2.2000000476837198"/>
    <n v="2.2000000476837198"/>
    <n v="0"/>
    <n v="0"/>
    <n v="0"/>
    <n v="2.2000000476837198"/>
    <n v="0"/>
    <n v="0"/>
    <n v="0"/>
    <n v="138"/>
    <n v="1302"/>
    <n v="2437"/>
    <x v="0"/>
    <x v="0"/>
    <x v="0"/>
  </r>
  <r>
    <n v="8583815059"/>
    <d v="2016-04-08T00:00:00"/>
    <n v="1408"/>
    <n v="1.1000000238418599"/>
    <n v="1.1000000238418599"/>
    <n v="0"/>
    <n v="0"/>
    <n v="0"/>
    <n v="1.1000000238418599"/>
    <n v="0"/>
    <n v="0"/>
    <n v="0"/>
    <n v="79"/>
    <n v="1052"/>
    <n v="1814"/>
    <x v="0"/>
    <x v="0"/>
    <x v="0"/>
  </r>
  <r>
    <n v="8792009665"/>
    <d v="2016-04-01T00:00:00"/>
    <n v="4592"/>
    <n v="2.9400000572204599"/>
    <n v="2.9400000572204599"/>
    <n v="0"/>
    <n v="0.10000000149011599"/>
    <n v="0.140000000596046"/>
    <n v="2.7000000476837198"/>
    <n v="0"/>
    <n v="4"/>
    <n v="8"/>
    <n v="176"/>
    <n v="748"/>
    <n v="2260"/>
    <x v="0"/>
    <x v="0"/>
    <x v="0"/>
  </r>
  <r>
    <n v="8792009665"/>
    <d v="2016-04-02T00:00:00"/>
    <n v="8452"/>
    <n v="5.4099998474121103"/>
    <n v="5.4099998474121103"/>
    <n v="0"/>
    <n v="0.259999990463257"/>
    <n v="0.38999998569488498"/>
    <n v="4.7600002288818404"/>
    <n v="0"/>
    <n v="9"/>
    <n v="24"/>
    <n v="328"/>
    <n v="1079"/>
    <n v="3004"/>
    <x v="0"/>
    <x v="1"/>
    <x v="0"/>
  </r>
  <r>
    <n v="8792009665"/>
    <d v="2016-04-03T00:00:00"/>
    <n v="7238"/>
    <n v="4.6300001144409197"/>
    <n v="4.6300001144409197"/>
    <n v="0"/>
    <n v="0.109999999403954"/>
    <n v="0.230000004172325"/>
    <n v="4.28999996185303"/>
    <n v="0"/>
    <n v="2"/>
    <n v="6"/>
    <n v="279"/>
    <n v="636"/>
    <n v="2667"/>
    <x v="0"/>
    <x v="1"/>
    <x v="0"/>
  </r>
  <r>
    <n v="8792009665"/>
    <d v="2016-04-04T00:00:00"/>
    <n v="3821"/>
    <n v="2.4500000476837198"/>
    <n v="2.4500000476837198"/>
    <n v="0"/>
    <n v="0"/>
    <n v="0.21999999880790699"/>
    <n v="2.2300000190734899"/>
    <n v="0"/>
    <n v="0"/>
    <n v="9"/>
    <n v="161"/>
    <n v="675"/>
    <n v="2229"/>
    <x v="0"/>
    <x v="0"/>
    <x v="0"/>
  </r>
  <r>
    <n v="8792009665"/>
    <d v="2016-04-05T00:00:00"/>
    <n v="2332"/>
    <n v="1.4900000095367401"/>
    <n v="1.4900000095367401"/>
    <n v="0"/>
    <n v="9.9999997764825804E-3"/>
    <n v="0.18000000715255701"/>
    <n v="1.29999995231628"/>
    <n v="0"/>
    <n v="1"/>
    <n v="10"/>
    <n v="111"/>
    <n v="904"/>
    <n v="2100"/>
    <x v="0"/>
    <x v="0"/>
    <x v="0"/>
  </r>
  <r>
    <n v="8792009665"/>
    <d v="2016-04-06T00:00:00"/>
    <n v="2121"/>
    <n v="1.3600000143051101"/>
    <n v="1.3600000143051101"/>
    <n v="0"/>
    <n v="0"/>
    <n v="0"/>
    <n v="1.3600000143051101"/>
    <n v="0"/>
    <n v="0"/>
    <n v="0"/>
    <n v="122"/>
    <n v="855"/>
    <n v="2114"/>
    <x v="0"/>
    <x v="0"/>
    <x v="0"/>
  </r>
  <r>
    <n v="8792009665"/>
    <d v="2016-04-07T00:00:00"/>
    <n v="1291"/>
    <n v="0.82999998331069902"/>
    <n v="0.82999998331069902"/>
    <n v="0"/>
    <n v="0"/>
    <n v="0"/>
    <n v="0.82999998331069902"/>
    <n v="0"/>
    <n v="0"/>
    <n v="0"/>
    <n v="77"/>
    <n v="888"/>
    <n v="1961"/>
    <x v="0"/>
    <x v="0"/>
    <x v="0"/>
  </r>
  <r>
    <n v="8792009665"/>
    <d v="2016-04-08T00:00:00"/>
    <n v="1467"/>
    <n v="0.93999999761581399"/>
    <n v="0.93999999761581399"/>
    <n v="0"/>
    <n v="0.10000000149011599"/>
    <n v="0.20999999344348899"/>
    <n v="0.62999999523162797"/>
    <n v="0"/>
    <n v="2"/>
    <n v="8"/>
    <n v="71"/>
    <n v="912"/>
    <n v="1953"/>
    <x v="0"/>
    <x v="0"/>
    <x v="0"/>
  </r>
  <r>
    <n v="8792009665"/>
    <d v="2016-04-09T00:00:00"/>
    <n v="1022"/>
    <n v="0.64999997615814198"/>
    <n v="0.64999997615814198"/>
    <n v="0"/>
    <n v="0"/>
    <n v="0"/>
    <n v="0.64999997615814198"/>
    <n v="0"/>
    <n v="0"/>
    <n v="0"/>
    <n v="63"/>
    <n v="739"/>
    <n v="1890"/>
    <x v="0"/>
    <x v="1"/>
    <x v="0"/>
  </r>
  <r>
    <n v="8792009665"/>
    <d v="2016-04-10T00:00:00"/>
    <n v="4605"/>
    <n v="2.9500000476837198"/>
    <n v="2.9500000476837198"/>
    <n v="0"/>
    <n v="0"/>
    <n v="0"/>
    <n v="2.9500000476837198"/>
    <n v="0"/>
    <n v="0"/>
    <n v="0"/>
    <n v="179"/>
    <n v="1261"/>
    <n v="2253"/>
    <x v="0"/>
    <x v="1"/>
    <x v="0"/>
  </r>
  <r>
    <n v="8792009665"/>
    <d v="2016-04-11T00:00:00"/>
    <n v="178"/>
    <n v="0.109999999403954"/>
    <n v="0.109999999403954"/>
    <n v="0"/>
    <n v="0"/>
    <n v="0"/>
    <n v="0.109999999403954"/>
    <n v="0"/>
    <n v="0"/>
    <n v="0"/>
    <n v="12"/>
    <n v="1428"/>
    <n v="1725"/>
    <x v="0"/>
    <x v="0"/>
    <x v="0"/>
  </r>
  <r>
    <n v="8792009665"/>
    <d v="2016-04-12T00:00:00"/>
    <n v="20"/>
    <n v="9.9999997764825804E-3"/>
    <n v="9.9999997764825804E-3"/>
    <n v="0"/>
    <n v="0"/>
    <n v="0"/>
    <n v="9.9999997764825804E-3"/>
    <n v="0"/>
    <n v="0"/>
    <n v="0"/>
    <n v="6"/>
    <n v="598"/>
    <n v="728"/>
    <x v="0"/>
    <x v="0"/>
    <x v="0"/>
  </r>
  <r>
    <n v="8877689391"/>
    <d v="2016-04-01T00:00:00"/>
    <n v="18700"/>
    <n v="15.819999694824199"/>
    <n v="15.819999694824199"/>
    <n v="0"/>
    <n v="8.6999998092651403"/>
    <n v="0.15999999642372101"/>
    <n v="6.9099998474121103"/>
    <n v="0"/>
    <n v="67"/>
    <n v="3"/>
    <n v="247"/>
    <n v="1123"/>
    <n v="3527"/>
    <x v="0"/>
    <x v="0"/>
    <x v="0"/>
  </r>
  <r>
    <n v="8877689391"/>
    <d v="2016-04-02T00:00:00"/>
    <n v="27572"/>
    <n v="23.389999389648398"/>
    <n v="23.389999389648398"/>
    <n v="0"/>
    <n v="14.7200002670288"/>
    <n v="1.21000003814697"/>
    <n v="7.3400001525878897"/>
    <n v="9.9999997764825804E-3"/>
    <n v="116"/>
    <n v="24"/>
    <n v="260"/>
    <n v="1040"/>
    <n v="4220"/>
    <x v="0"/>
    <x v="1"/>
    <x v="0"/>
  </r>
  <r>
    <n v="8877689391"/>
    <d v="2016-04-03T00:00:00"/>
    <n v="15260"/>
    <n v="8.1899995803833008"/>
    <n v="8.1899995803833008"/>
    <n v="0"/>
    <n v="1.79999995231628"/>
    <n v="0.75"/>
    <n v="5.5700001716613796"/>
    <n v="0"/>
    <n v="106"/>
    <n v="17"/>
    <n v="259"/>
    <n v="1058"/>
    <n v="3864"/>
    <x v="0"/>
    <x v="1"/>
    <x v="0"/>
  </r>
  <r>
    <n v="8877689391"/>
    <d v="2016-04-04T00:00:00"/>
    <n v="20779"/>
    <n v="18.409999847412099"/>
    <n v="18.409999847412099"/>
    <n v="0"/>
    <n v="11.7299995422363"/>
    <n v="0.64999997615814198"/>
    <n v="6"/>
    <n v="0"/>
    <n v="78"/>
    <n v="16"/>
    <n v="208"/>
    <n v="1138"/>
    <n v="3662"/>
    <x v="0"/>
    <x v="0"/>
    <x v="0"/>
  </r>
  <r>
    <n v="8877689391"/>
    <d v="2016-04-05T00:00:00"/>
    <n v="10695"/>
    <n v="8.1199998855590803"/>
    <n v="8.1199998855590803"/>
    <n v="0"/>
    <n v="0.769999980926514"/>
    <n v="0.18000000715255701"/>
    <n v="7.0900001525878897"/>
    <n v="9.9999997764825804E-3"/>
    <n v="10"/>
    <n v="3"/>
    <n v="246"/>
    <n v="1181"/>
    <n v="2834"/>
    <x v="0"/>
    <x v="0"/>
    <x v="0"/>
  </r>
  <r>
    <n v="8877689391"/>
    <d v="2016-04-06T00:00:00"/>
    <n v="24136"/>
    <n v="20.909999847412099"/>
    <n v="20.909999847412099"/>
    <n v="0"/>
    <n v="12.2200002670288"/>
    <n v="0.54000002145767201"/>
    <n v="8.0799999237060494"/>
    <n v="0"/>
    <n v="87"/>
    <n v="16"/>
    <n v="318"/>
    <n v="1019"/>
    <n v="4039"/>
    <x v="0"/>
    <x v="0"/>
    <x v="0"/>
  </r>
  <r>
    <n v="8877689391"/>
    <d v="2016-04-07T00:00:00"/>
    <n v="10910"/>
    <n v="8.4200000762939506"/>
    <n v="8.4200000762939506"/>
    <n v="0"/>
    <n v="2.96000003814697"/>
    <n v="0.38999998569488498"/>
    <n v="5.0300002098083496"/>
    <n v="0"/>
    <n v="32"/>
    <n v="11"/>
    <n v="212"/>
    <n v="1185"/>
    <n v="2947"/>
    <x v="0"/>
    <x v="0"/>
    <x v="0"/>
  </r>
  <r>
    <n v="8877689391"/>
    <d v="2016-04-08T00:00:00"/>
    <n v="23014"/>
    <n v="20.389999389648398"/>
    <n v="20.389999389648398"/>
    <n v="0"/>
    <n v="11.1000003814697"/>
    <n v="0.62999999523162797"/>
    <n v="8.6199998855590803"/>
    <n v="0"/>
    <n v="70"/>
    <n v="29"/>
    <n v="359"/>
    <n v="982"/>
    <n v="4196"/>
    <x v="0"/>
    <x v="0"/>
    <x v="0"/>
  </r>
  <r>
    <n v="8877689391"/>
    <d v="2016-04-09T00:00:00"/>
    <n v="16470"/>
    <n v="8.0699996948242205"/>
    <n v="8.0699996948242205"/>
    <n v="0"/>
    <n v="0"/>
    <n v="1.9999999552965199E-2"/>
    <n v="8.0200004577636701"/>
    <n v="0"/>
    <n v="90"/>
    <n v="9"/>
    <n v="289"/>
    <n v="1052"/>
    <n v="3841"/>
    <x v="0"/>
    <x v="1"/>
    <x v="0"/>
  </r>
  <r>
    <n v="8877689391"/>
    <d v="2016-04-10T00:00:00"/>
    <n v="28497"/>
    <n v="27.530000686645501"/>
    <n v="27.530000686645501"/>
    <n v="0"/>
    <n v="21.920000076293899"/>
    <n v="1.12000000476837"/>
    <n v="4.46000003814697"/>
    <n v="0"/>
    <n v="128"/>
    <n v="46"/>
    <n v="211"/>
    <n v="1055"/>
    <n v="4526"/>
    <x v="0"/>
    <x v="1"/>
    <x v="0"/>
  </r>
  <r>
    <n v="8877689391"/>
    <d v="2016-04-11T00:00:00"/>
    <n v="10622"/>
    <n v="8.0600004196166992"/>
    <n v="8.0600004196166992"/>
    <n v="0"/>
    <n v="1.4700000286102299"/>
    <n v="0.15000000596046401"/>
    <n v="6.3699998855590803"/>
    <n v="9.9999997764825804E-3"/>
    <n v="18"/>
    <n v="7"/>
    <n v="225"/>
    <n v="1190"/>
    <n v="2820"/>
    <x v="0"/>
    <x v="0"/>
    <x v="0"/>
  </r>
  <r>
    <n v="8877689391"/>
    <d v="2016-04-12T00:00:00"/>
    <n v="2350"/>
    <n v="1.7799999713897701"/>
    <n v="1.7799999713897701"/>
    <n v="0"/>
    <n v="0"/>
    <n v="0"/>
    <n v="1.7799999713897701"/>
    <n v="0"/>
    <n v="0"/>
    <n v="0"/>
    <n v="58"/>
    <n v="531"/>
    <n v="938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n v="1503960366"/>
    <x v="0"/>
    <n v="11004"/>
    <n v="7.1100001335143999"/>
    <n v="7.1100001335143999"/>
    <n v="0"/>
    <n v="2.5699999332428001"/>
    <n v="0.46000000834464999"/>
    <n v="4.0700001716613796"/>
    <n v="0"/>
    <n v="33"/>
    <n v="12"/>
    <n v="205"/>
    <n v="804"/>
    <n v="1819"/>
    <x v="0"/>
    <x v="0"/>
  </r>
  <r>
    <n v="1503960366"/>
    <x v="1"/>
    <n v="17609"/>
    <n v="11.550000190734901"/>
    <n v="11.550000190734901"/>
    <n v="0"/>
    <n v="6.9200000762939498"/>
    <n v="0.730000019073486"/>
    <n v="3.9100000858306898"/>
    <n v="0"/>
    <n v="89"/>
    <n v="17"/>
    <n v="274"/>
    <n v="588"/>
    <n v="2154"/>
    <x v="0"/>
    <x v="1"/>
  </r>
  <r>
    <n v="1503960366"/>
    <x v="2"/>
    <n v="12736"/>
    <n v="8.5299997329711896"/>
    <n v="8.5299997329711896"/>
    <n v="0"/>
    <n v="4.6599998474121103"/>
    <n v="0.15999999642372101"/>
    <n v="3.71000003814697"/>
    <n v="0"/>
    <n v="56"/>
    <n v="5"/>
    <n v="268"/>
    <n v="605"/>
    <n v="1944"/>
    <x v="0"/>
    <x v="1"/>
  </r>
  <r>
    <n v="1503960366"/>
    <x v="3"/>
    <n v="13231"/>
    <n v="8.9300003051757795"/>
    <n v="8.9300003051757795"/>
    <n v="0"/>
    <n v="3.1900000572204599"/>
    <n v="0.79000002145767201"/>
    <n v="4.9499998092651403"/>
    <n v="0"/>
    <n v="39"/>
    <n v="20"/>
    <n v="224"/>
    <n v="1080"/>
    <n v="1932"/>
    <x v="0"/>
    <x v="0"/>
  </r>
  <r>
    <n v="1503960366"/>
    <x v="4"/>
    <n v="12041"/>
    <n v="7.8499999046325701"/>
    <n v="7.8499999046325701"/>
    <n v="0"/>
    <n v="2.1600000858306898"/>
    <n v="1.0900000333786"/>
    <n v="4.6100001335143999"/>
    <n v="0"/>
    <n v="28"/>
    <n v="28"/>
    <n v="243"/>
    <n v="763"/>
    <n v="1886"/>
    <x v="0"/>
    <x v="0"/>
  </r>
  <r>
    <n v="1503960366"/>
    <x v="5"/>
    <n v="10970"/>
    <n v="7.1599998474121103"/>
    <n v="7.1599998474121103"/>
    <n v="0"/>
    <n v="2.3599998950958301"/>
    <n v="0.50999999046325695"/>
    <n v="4.28999996185303"/>
    <n v="0"/>
    <n v="30"/>
    <n v="13"/>
    <n v="223"/>
    <n v="1174"/>
    <n v="1820"/>
    <x v="0"/>
    <x v="0"/>
  </r>
  <r>
    <n v="1503960366"/>
    <x v="6"/>
    <n v="12256"/>
    <n v="7.8600001335143999"/>
    <n v="7.8600001335143999"/>
    <n v="0"/>
    <n v="2.28999996185303"/>
    <n v="0.490000009536743"/>
    <n v="5.03999996185303"/>
    <n v="0"/>
    <n v="33"/>
    <n v="12"/>
    <n v="239"/>
    <n v="820"/>
    <n v="1889"/>
    <x v="0"/>
    <x v="0"/>
  </r>
  <r>
    <n v="1503960366"/>
    <x v="7"/>
    <n v="12262"/>
    <n v="7.8699998855590803"/>
    <n v="7.8699998855590803"/>
    <n v="0"/>
    <n v="3.3199999332428001"/>
    <n v="0.82999998331069902"/>
    <n v="3.6400001049041699"/>
    <n v="0"/>
    <n v="47"/>
    <n v="21"/>
    <n v="200"/>
    <n v="866"/>
    <n v="1868"/>
    <x v="0"/>
    <x v="0"/>
  </r>
  <r>
    <n v="1503960366"/>
    <x v="8"/>
    <n v="11248"/>
    <n v="7.25"/>
    <n v="7.25"/>
    <n v="0"/>
    <n v="3"/>
    <n v="0.44999998807907099"/>
    <n v="3.7400000095367401"/>
    <n v="0"/>
    <n v="40"/>
    <n v="11"/>
    <n v="244"/>
    <n v="636"/>
    <n v="1843"/>
    <x v="0"/>
    <x v="1"/>
  </r>
  <r>
    <n v="1503960366"/>
    <x v="9"/>
    <n v="10016"/>
    <n v="6.3699998855590803"/>
    <n v="6.3699998855590803"/>
    <n v="0"/>
    <n v="0.91000002622604403"/>
    <n v="1.2799999713897701"/>
    <n v="4.1799998283386204"/>
    <n v="0"/>
    <n v="15"/>
    <n v="30"/>
    <n v="314"/>
    <n v="655"/>
    <n v="1850"/>
    <x v="0"/>
    <x v="1"/>
  </r>
  <r>
    <n v="1503960366"/>
    <x v="10"/>
    <n v="14557"/>
    <n v="9.8000001907348597"/>
    <n v="9.8000001907348597"/>
    <n v="0"/>
    <n v="3.3900001049041699"/>
    <n v="0.69999998807907104"/>
    <n v="5.6900000572204599"/>
    <n v="0"/>
    <n v="43"/>
    <n v="18"/>
    <n v="285"/>
    <n v="757"/>
    <n v="2030"/>
    <x v="0"/>
    <x v="0"/>
  </r>
  <r>
    <n v="1503960366"/>
    <x v="11"/>
    <n v="14844"/>
    <n v="9.7299995422363299"/>
    <n v="9.7299995422363299"/>
    <n v="0"/>
    <n v="2.9400000572204599"/>
    <n v="0.75999999046325695"/>
    <n v="6.03999996185303"/>
    <n v="0"/>
    <n v="36"/>
    <n v="18"/>
    <n v="341"/>
    <n v="736"/>
    <n v="2083"/>
    <x v="0"/>
    <x v="0"/>
  </r>
  <r>
    <n v="1503960366"/>
    <x v="12"/>
    <n v="11974"/>
    <n v="7.6700000762939498"/>
    <n v="7.6700000762939498"/>
    <n v="0"/>
    <n v="2.03999996185303"/>
    <n v="0.479999989271164"/>
    <n v="5.1500000953674299"/>
    <n v="0"/>
    <n v="27"/>
    <n v="12"/>
    <n v="228"/>
    <n v="1173"/>
    <n v="1861"/>
    <x v="0"/>
    <x v="0"/>
  </r>
  <r>
    <n v="1503960366"/>
    <x v="13"/>
    <n v="10198"/>
    <n v="6.4400000572204599"/>
    <n v="6.4400000572204599"/>
    <n v="0"/>
    <n v="1.20000004768372"/>
    <n v="0.79000002145767201"/>
    <n v="4.4499998092651403"/>
    <n v="0"/>
    <n v="17"/>
    <n v="20"/>
    <n v="195"/>
    <n v="1208"/>
    <n v="1755"/>
    <x v="0"/>
    <x v="0"/>
  </r>
  <r>
    <n v="1503960366"/>
    <x v="14"/>
    <n v="12521"/>
    <n v="7.9400000572204599"/>
    <n v="7.9400000572204599"/>
    <n v="0"/>
    <n v="3.3099999427795401"/>
    <n v="0.89999997615814198"/>
    <n v="3.7400000095367401"/>
    <n v="0"/>
    <n v="46"/>
    <n v="22"/>
    <n v="212"/>
    <n v="1160"/>
    <n v="1895"/>
    <x v="0"/>
    <x v="0"/>
  </r>
  <r>
    <n v="1503960366"/>
    <x v="15"/>
    <n v="12432"/>
    <n v="8.1000003814697301"/>
    <n v="8.1000003814697301"/>
    <n v="0"/>
    <n v="2.5899999141693102"/>
    <n v="0.58999997377395597"/>
    <n v="4.9200000762939498"/>
    <n v="0"/>
    <n v="32"/>
    <n v="15"/>
    <n v="248"/>
    <n v="738"/>
    <n v="1883"/>
    <x v="0"/>
    <x v="1"/>
  </r>
  <r>
    <n v="1503960366"/>
    <x v="16"/>
    <n v="10057"/>
    <n v="6.9800000190734899"/>
    <n v="6.9800000190734899"/>
    <n v="0"/>
    <n v="4"/>
    <n v="0.490000009536743"/>
    <n v="2.4800000190734899"/>
    <n v="0"/>
    <n v="44"/>
    <n v="13"/>
    <n v="168"/>
    <n v="737"/>
    <n v="1755"/>
    <x v="0"/>
    <x v="1"/>
  </r>
  <r>
    <n v="1503960366"/>
    <x v="17"/>
    <n v="10990"/>
    <n v="7.2600002288818404"/>
    <n v="7.2600002288818404"/>
    <n v="0"/>
    <n v="2.03999996185303"/>
    <n v="0.56999999284744296"/>
    <n v="4.6500000953674299"/>
    <n v="0"/>
    <n v="26"/>
    <n v="14"/>
    <n v="216"/>
    <n v="855"/>
    <n v="1811"/>
    <x v="0"/>
    <x v="0"/>
  </r>
  <r>
    <n v="1503960366"/>
    <x v="18"/>
    <n v="224"/>
    <n v="0.140000000596046"/>
    <n v="0.140000000596046"/>
    <n v="0"/>
    <n v="0"/>
    <n v="0"/>
    <n v="0.129999995231628"/>
    <n v="0"/>
    <n v="0"/>
    <n v="0"/>
    <n v="9"/>
    <n v="32"/>
    <n v="50"/>
    <x v="0"/>
    <x v="0"/>
  </r>
  <r>
    <n v="1624580081"/>
    <x v="0"/>
    <n v="1810"/>
    <n v="1.1799999475479099"/>
    <n v="1.1799999475479099"/>
    <n v="0"/>
    <n v="0"/>
    <n v="0"/>
    <n v="1.12999999523163"/>
    <n v="9.9999997764825804E-3"/>
    <n v="0"/>
    <n v="0"/>
    <n v="121"/>
    <n v="1319"/>
    <n v="1373"/>
    <x v="0"/>
    <x v="0"/>
  </r>
  <r>
    <n v="1624580081"/>
    <x v="1"/>
    <n v="815"/>
    <n v="0.52999997138977095"/>
    <n v="0.52999997138977095"/>
    <n v="0"/>
    <n v="0"/>
    <n v="0"/>
    <n v="0.52999997138977095"/>
    <n v="0"/>
    <n v="0"/>
    <n v="0"/>
    <n v="47"/>
    <n v="1393"/>
    <n v="1264"/>
    <x v="0"/>
    <x v="1"/>
  </r>
  <r>
    <n v="1624580081"/>
    <x v="2"/>
    <n v="1985"/>
    <n v="1.28999996185303"/>
    <n v="1.28999996185303"/>
    <n v="0"/>
    <n v="0"/>
    <n v="0"/>
    <n v="1.2799999713897701"/>
    <n v="9.9999997764825804E-3"/>
    <n v="0"/>
    <n v="0"/>
    <n v="112"/>
    <n v="1328"/>
    <n v="1350"/>
    <x v="0"/>
    <x v="1"/>
  </r>
  <r>
    <n v="1624580081"/>
    <x v="3"/>
    <n v="1905"/>
    <n v="1.2400000095367401"/>
    <n v="1.2400000095367401"/>
    <n v="0"/>
    <n v="0"/>
    <n v="0"/>
    <n v="1.2400000095367401"/>
    <n v="0"/>
    <n v="0"/>
    <n v="0"/>
    <n v="95"/>
    <n v="1345"/>
    <n v="1342"/>
    <x v="0"/>
    <x v="0"/>
  </r>
  <r>
    <n v="1624580081"/>
    <x v="4"/>
    <n v="1552"/>
    <n v="1.0099999904632599"/>
    <n v="1.0099999904632599"/>
    <n v="0"/>
    <n v="0"/>
    <n v="0"/>
    <n v="1"/>
    <n v="0"/>
    <n v="0"/>
    <n v="0"/>
    <n v="66"/>
    <n v="1374"/>
    <n v="1300"/>
    <x v="0"/>
    <x v="0"/>
  </r>
  <r>
    <n v="1624580081"/>
    <x v="5"/>
    <n v="1675"/>
    <n v="1.0900000333786"/>
    <n v="1.0900000333786"/>
    <n v="0"/>
    <n v="0"/>
    <n v="0"/>
    <n v="1.0900000333786"/>
    <n v="0"/>
    <n v="0"/>
    <n v="0"/>
    <n v="84"/>
    <n v="1356"/>
    <n v="1313"/>
    <x v="0"/>
    <x v="0"/>
  </r>
  <r>
    <n v="1624580081"/>
    <x v="6"/>
    <n v="4506"/>
    <n v="2.9300000667571999"/>
    <n v="2.9300000667571999"/>
    <n v="0"/>
    <n v="0.50999999046325695"/>
    <n v="0.270000010728836"/>
    <n v="2.1500000953674299"/>
    <n v="9.9999997764825804E-3"/>
    <n v="7"/>
    <n v="4"/>
    <n v="144"/>
    <n v="1285"/>
    <n v="1498"/>
    <x v="0"/>
    <x v="0"/>
  </r>
  <r>
    <n v="1624580081"/>
    <x v="7"/>
    <n v="9218"/>
    <n v="5.9899997711181596"/>
    <n v="5.9899997711181596"/>
    <n v="0"/>
    <n v="0"/>
    <n v="0"/>
    <n v="5.9699997901916504"/>
    <n v="9.9999997764825804E-3"/>
    <n v="0"/>
    <n v="0"/>
    <n v="221"/>
    <n v="1219"/>
    <n v="1541"/>
    <x v="0"/>
    <x v="0"/>
  </r>
  <r>
    <n v="1624580081"/>
    <x v="8"/>
    <n v="1556"/>
    <n v="1.0099999904632599"/>
    <n v="1.0099999904632599"/>
    <n v="0"/>
    <n v="0"/>
    <n v="0"/>
    <n v="1.0099999904632599"/>
    <n v="9.9999997764825804E-3"/>
    <n v="0"/>
    <n v="0"/>
    <n v="88"/>
    <n v="1352"/>
    <n v="1327"/>
    <x v="0"/>
    <x v="1"/>
  </r>
  <r>
    <n v="1624580081"/>
    <x v="9"/>
    <n v="2910"/>
    <n v="1.8899999856948899"/>
    <n v="1.8899999856948899"/>
    <n v="0"/>
    <n v="0"/>
    <n v="0"/>
    <n v="1.87999999523163"/>
    <n v="9.9999997764825804E-3"/>
    <n v="0"/>
    <n v="0"/>
    <n v="157"/>
    <n v="1283"/>
    <n v="1452"/>
    <x v="0"/>
    <x v="1"/>
  </r>
  <r>
    <n v="1624580081"/>
    <x v="10"/>
    <n v="18464"/>
    <n v="12"/>
    <n v="12"/>
    <n v="0"/>
    <n v="0"/>
    <n v="0"/>
    <n v="12"/>
    <n v="0"/>
    <n v="0"/>
    <n v="0"/>
    <n v="270"/>
    <n v="1170"/>
    <n v="1574"/>
    <x v="0"/>
    <x v="0"/>
  </r>
  <r>
    <n v="1624580081"/>
    <x v="11"/>
    <n v="1335"/>
    <n v="0.87000000476837203"/>
    <n v="0.87000000476837203"/>
    <n v="0"/>
    <n v="0"/>
    <n v="0"/>
    <n v="0.87000000476837203"/>
    <n v="0"/>
    <n v="0"/>
    <n v="0"/>
    <n v="74"/>
    <n v="1366"/>
    <n v="1308"/>
    <x v="0"/>
    <x v="0"/>
  </r>
  <r>
    <n v="1624580081"/>
    <x v="12"/>
    <n v="1004"/>
    <n v="0.64999997615814198"/>
    <n v="0.64999997615814198"/>
    <n v="0"/>
    <n v="0"/>
    <n v="0"/>
    <n v="0.64999997615814198"/>
    <n v="0"/>
    <n v="0"/>
    <n v="0"/>
    <n v="55"/>
    <n v="1385"/>
    <n v="1276"/>
    <x v="0"/>
    <x v="0"/>
  </r>
  <r>
    <n v="1624580081"/>
    <x v="13"/>
    <n v="1111"/>
    <n v="0.72000002861022905"/>
    <n v="0.72000002861022905"/>
    <n v="0"/>
    <n v="0"/>
    <n v="0"/>
    <n v="0.72000002861022905"/>
    <n v="0"/>
    <n v="0"/>
    <n v="0"/>
    <n v="54"/>
    <n v="1386"/>
    <n v="1278"/>
    <x v="0"/>
    <x v="0"/>
  </r>
  <r>
    <n v="1624580081"/>
    <x v="14"/>
    <n v="6344"/>
    <n v="4.1199998855590803"/>
    <n v="4.1199998855590803"/>
    <n v="0"/>
    <n v="0"/>
    <n v="0"/>
    <n v="4.0999999046325701"/>
    <n v="0"/>
    <n v="0"/>
    <n v="0"/>
    <n v="143"/>
    <n v="1297"/>
    <n v="1409"/>
    <x v="0"/>
    <x v="0"/>
  </r>
  <r>
    <n v="1624580081"/>
    <x v="15"/>
    <n v="3572"/>
    <n v="2.3199999332428001"/>
    <n v="2.3199999332428001"/>
    <n v="0"/>
    <n v="0"/>
    <n v="0"/>
    <n v="2.28999996185303"/>
    <n v="2.9999999329447701E-2"/>
    <n v="0"/>
    <n v="0"/>
    <n v="122"/>
    <n v="1318"/>
    <n v="1370"/>
    <x v="0"/>
    <x v="1"/>
  </r>
  <r>
    <n v="1624580081"/>
    <x v="16"/>
    <n v="3910"/>
    <n v="2.53999996185303"/>
    <n v="2.53999996185303"/>
    <n v="0"/>
    <n v="0.46999999880790699"/>
    <n v="0.25"/>
    <n v="1.8099999427795399"/>
    <n v="9.9999997764825804E-3"/>
    <n v="7"/>
    <n v="7"/>
    <n v="186"/>
    <n v="1240"/>
    <n v="1555"/>
    <x v="0"/>
    <x v="1"/>
  </r>
  <r>
    <n v="1624580081"/>
    <x v="17"/>
    <n v="10000"/>
    <n v="6.5"/>
    <n v="6.5"/>
    <n v="0"/>
    <n v="0"/>
    <n v="0"/>
    <n v="6.5"/>
    <n v="0"/>
    <n v="0"/>
    <n v="0"/>
    <n v="172"/>
    <n v="1268"/>
    <n v="1469"/>
    <x v="0"/>
    <x v="0"/>
  </r>
  <r>
    <n v="1624580081"/>
    <x v="18"/>
    <n v="6627"/>
    <n v="4.3099999427795401"/>
    <n v="4.3099999427795401"/>
    <n v="0"/>
    <n v="0"/>
    <n v="0"/>
    <n v="4.3099999427795401"/>
    <n v="0"/>
    <n v="0"/>
    <n v="0"/>
    <n v="89"/>
    <n v="604"/>
    <n v="706"/>
    <x v="0"/>
    <x v="0"/>
  </r>
  <r>
    <n v="1644430081"/>
    <x v="7"/>
    <n v="4636"/>
    <n v="3.4100000858306898"/>
    <n v="3.4100000858306898"/>
    <n v="0"/>
    <n v="0"/>
    <n v="0.77999997138977095"/>
    <n v="2.5999999046325701"/>
    <n v="2.9999999329447701E-2"/>
    <n v="0"/>
    <n v="16"/>
    <n v="586"/>
    <n v="838"/>
    <n v="3323"/>
    <x v="0"/>
    <x v="0"/>
  </r>
  <r>
    <n v="1644430081"/>
    <x v="8"/>
    <n v="20237"/>
    <n v="14.710000038146999"/>
    <n v="14.710000038146999"/>
    <n v="0"/>
    <n v="2.5699999332428001"/>
    <n v="6.4000000953674299"/>
    <n v="5.7300000190734899"/>
    <n v="9.9999997764825804E-3"/>
    <n v="34"/>
    <n v="141"/>
    <n v="347"/>
    <n v="918"/>
    <n v="4029"/>
    <x v="0"/>
    <x v="1"/>
  </r>
  <r>
    <n v="1644430081"/>
    <x v="9"/>
    <n v="12912"/>
    <n v="9.4099998474121094"/>
    <n v="9.4099998474121094"/>
    <n v="0"/>
    <n v="4.8299999237060502"/>
    <n v="0.769999980926514"/>
    <n v="3.78999996185303"/>
    <n v="2.9999999329447701E-2"/>
    <n v="59"/>
    <n v="16"/>
    <n v="283"/>
    <n v="1082"/>
    <n v="3436"/>
    <x v="0"/>
    <x v="1"/>
  </r>
  <r>
    <n v="1644430081"/>
    <x v="10"/>
    <n v="2819"/>
    <n v="2.0499999523162802"/>
    <n v="2.0499999523162802"/>
    <n v="0"/>
    <n v="0.31000000238418601"/>
    <n v="0.17000000178813901"/>
    <n v="1.5599999427795399"/>
    <n v="9.9999997764825804E-3"/>
    <n v="4"/>
    <n v="4"/>
    <n v="87"/>
    <n v="1345"/>
    <n v="2444"/>
    <x v="0"/>
    <x v="0"/>
  </r>
  <r>
    <n v="1644430081"/>
    <x v="11"/>
    <n v="9921"/>
    <n v="7.21000003814697"/>
    <n v="7.21000003814697"/>
    <n v="0"/>
    <n v="0.34000000357627902"/>
    <n v="1.5199999809265099"/>
    <n v="5.3600001335143999"/>
    <n v="0"/>
    <n v="5"/>
    <n v="35"/>
    <n v="219"/>
    <n v="1181"/>
    <n v="3098"/>
    <x v="0"/>
    <x v="0"/>
  </r>
  <r>
    <n v="1644430081"/>
    <x v="12"/>
    <n v="8046"/>
    <n v="5.8499999046325701"/>
    <n v="5.8499999046325701"/>
    <n v="0"/>
    <n v="1.28999996185303"/>
    <n v="2.1199998855590798"/>
    <n v="2.4500000476837198"/>
    <n v="0"/>
    <n v="18"/>
    <n v="41"/>
    <n v="137"/>
    <n v="1244"/>
    <n v="2925"/>
    <x v="0"/>
    <x v="0"/>
  </r>
  <r>
    <n v="1644430081"/>
    <x v="13"/>
    <n v="11166"/>
    <n v="8.1199998855590803"/>
    <n v="8.1199998855590803"/>
    <n v="0"/>
    <n v="0.20999999344348899"/>
    <n v="2.4100000858306898"/>
    <n v="5.5"/>
    <n v="0"/>
    <n v="3"/>
    <n v="58"/>
    <n v="230"/>
    <n v="1149"/>
    <n v="3202"/>
    <x v="0"/>
    <x v="0"/>
  </r>
  <r>
    <n v="1644430081"/>
    <x v="14"/>
    <n v="7842"/>
    <n v="5.6999998092651403"/>
    <n v="5.6999998092651403"/>
    <n v="0"/>
    <n v="0.479999989271164"/>
    <n v="2.4100000858306898"/>
    <n v="2.8099999427795401"/>
    <n v="0"/>
    <n v="7"/>
    <n v="43"/>
    <n v="161"/>
    <n v="1229"/>
    <n v="2928"/>
    <x v="0"/>
    <x v="0"/>
  </r>
  <r>
    <n v="1644430081"/>
    <x v="15"/>
    <n v="13840"/>
    <n v="10.060000419616699"/>
    <n v="10.060000419616699"/>
    <n v="0"/>
    <n v="1.3099999427795399"/>
    <n v="3.7200000286102299"/>
    <n v="5.0300002098083496"/>
    <n v="0"/>
    <n v="18"/>
    <n v="81"/>
    <n v="192"/>
    <n v="1149"/>
    <n v="3290"/>
    <x v="0"/>
    <x v="1"/>
  </r>
  <r>
    <n v="1644430081"/>
    <x v="16"/>
    <n v="1329"/>
    <n v="0.97000002861022905"/>
    <n v="0.97000002861022905"/>
    <n v="0"/>
    <n v="0"/>
    <n v="0"/>
    <n v="0.97000002861022905"/>
    <n v="0"/>
    <n v="0"/>
    <n v="0"/>
    <n v="35"/>
    <n v="207"/>
    <n v="489"/>
    <x v="0"/>
    <x v="1"/>
  </r>
  <r>
    <n v="1844505072"/>
    <x v="7"/>
    <n v="6847"/>
    <n v="4.5300002098083496"/>
    <n v="4.5300002098083496"/>
    <n v="0"/>
    <n v="0.61000001430511497"/>
    <n v="0.37000000476837203"/>
    <n v="3.5499999523162802"/>
    <n v="0"/>
    <n v="9"/>
    <n v="9"/>
    <n v="251"/>
    <n v="1171"/>
    <n v="1969"/>
    <x v="0"/>
    <x v="0"/>
  </r>
  <r>
    <n v="1844505072"/>
    <x v="8"/>
    <n v="5367"/>
    <n v="3.5499999523162802"/>
    <n v="3.5499999523162802"/>
    <n v="0"/>
    <n v="0"/>
    <n v="0"/>
    <n v="3.5499999523162802"/>
    <n v="0"/>
    <n v="0"/>
    <n v="0"/>
    <n v="263"/>
    <n v="1177"/>
    <n v="1889"/>
    <x v="0"/>
    <x v="1"/>
  </r>
  <r>
    <n v="1844505072"/>
    <x v="9"/>
    <n v="2841"/>
    <n v="1.87999999523163"/>
    <n v="1.87999999523163"/>
    <n v="0"/>
    <n v="0"/>
    <n v="0"/>
    <n v="1.87999999523163"/>
    <n v="0"/>
    <n v="0"/>
    <n v="0"/>
    <n v="136"/>
    <n v="1114"/>
    <n v="1636"/>
    <x v="0"/>
    <x v="1"/>
  </r>
  <r>
    <n v="1844505072"/>
    <x v="10"/>
    <n v="0"/>
    <n v="0"/>
    <n v="0"/>
    <n v="0"/>
    <n v="0"/>
    <n v="0"/>
    <n v="0"/>
    <n v="0"/>
    <n v="0"/>
    <n v="0"/>
    <n v="0"/>
    <n v="669"/>
    <n v="1347"/>
    <x v="0"/>
    <x v="0"/>
  </r>
  <r>
    <n v="1844505072"/>
    <x v="11"/>
    <n v="0"/>
    <n v="0"/>
    <n v="0"/>
    <n v="0"/>
    <n v="0"/>
    <n v="0"/>
    <n v="0"/>
    <n v="0"/>
    <n v="0"/>
    <n v="0"/>
    <n v="0"/>
    <n v="1440"/>
    <n v="1347"/>
    <x v="0"/>
    <x v="0"/>
  </r>
  <r>
    <n v="1844505072"/>
    <x v="12"/>
    <n v="7"/>
    <n v="0"/>
    <n v="0"/>
    <n v="0"/>
    <n v="0"/>
    <n v="0"/>
    <n v="0"/>
    <n v="0"/>
    <n v="0"/>
    <n v="0"/>
    <n v="1"/>
    <n v="1439"/>
    <n v="1349"/>
    <x v="0"/>
    <x v="0"/>
  </r>
  <r>
    <n v="1844505072"/>
    <x v="13"/>
    <n v="6344"/>
    <n v="4.1900000572204599"/>
    <n v="4.1900000572204599"/>
    <n v="0"/>
    <n v="0"/>
    <n v="0"/>
    <n v="4.1900000572204599"/>
    <n v="0"/>
    <n v="0"/>
    <n v="0"/>
    <n v="290"/>
    <n v="1150"/>
    <n v="1965"/>
    <x v="0"/>
    <x v="0"/>
  </r>
  <r>
    <n v="1844505072"/>
    <x v="14"/>
    <n v="5316"/>
    <n v="3.5099999904632599"/>
    <n v="3.5099999904632599"/>
    <n v="0"/>
    <n v="0"/>
    <n v="0"/>
    <n v="3.5099999904632599"/>
    <n v="0"/>
    <n v="0"/>
    <n v="0"/>
    <n v="221"/>
    <n v="1219"/>
    <n v="1824"/>
    <x v="0"/>
    <x v="0"/>
  </r>
  <r>
    <n v="1844505072"/>
    <x v="15"/>
    <n v="4979"/>
    <n v="3.28999996185303"/>
    <n v="3.28999996185303"/>
    <n v="0"/>
    <n v="0"/>
    <n v="0"/>
    <n v="3.28999996185303"/>
    <n v="0"/>
    <n v="0"/>
    <n v="0"/>
    <n v="184"/>
    <n v="620"/>
    <n v="1807"/>
    <x v="0"/>
    <x v="1"/>
  </r>
  <r>
    <n v="1844505072"/>
    <x v="16"/>
    <n v="6556"/>
    <n v="4.3400001525878897"/>
    <n v="4.3400001525878897"/>
    <n v="0"/>
    <n v="0"/>
    <n v="0"/>
    <n v="4.3299999237060502"/>
    <n v="0"/>
    <n v="0"/>
    <n v="0"/>
    <n v="305"/>
    <n v="810"/>
    <n v="1971"/>
    <x v="0"/>
    <x v="1"/>
  </r>
  <r>
    <n v="1844505072"/>
    <x v="17"/>
    <n v="5430"/>
    <n v="3.5899999141693102"/>
    <n v="3.5899999141693102"/>
    <n v="0"/>
    <n v="0"/>
    <n v="0"/>
    <n v="3.5899999141693102"/>
    <n v="0"/>
    <n v="0"/>
    <n v="0"/>
    <n v="251"/>
    <n v="1189"/>
    <n v="1888"/>
    <x v="0"/>
    <x v="0"/>
  </r>
  <r>
    <n v="1844505072"/>
    <x v="18"/>
    <n v="0"/>
    <n v="0"/>
    <n v="0"/>
    <n v="0"/>
    <n v="0"/>
    <n v="0"/>
    <n v="0"/>
    <n v="0"/>
    <n v="0"/>
    <n v="0"/>
    <n v="0"/>
    <n v="426"/>
    <n v="399"/>
    <x v="0"/>
    <x v="0"/>
  </r>
  <r>
    <n v="1927972279"/>
    <x v="7"/>
    <n v="4317"/>
    <n v="2.9900000095367401"/>
    <n v="2.9900000095367401"/>
    <n v="0"/>
    <n v="0"/>
    <n v="0.37000000476837203"/>
    <n v="2.6199998855590798"/>
    <n v="0"/>
    <n v="0"/>
    <n v="11"/>
    <n v="192"/>
    <n v="854"/>
    <n v="2590"/>
    <x v="0"/>
    <x v="0"/>
  </r>
  <r>
    <n v="1927972279"/>
    <x v="8"/>
    <n v="5662"/>
    <n v="3.9200000762939502"/>
    <n v="3.9200000762939502"/>
    <n v="0"/>
    <n v="0"/>
    <n v="0"/>
    <n v="3.9200000762939502"/>
    <n v="0"/>
    <n v="0"/>
    <n v="0"/>
    <n v="267"/>
    <n v="858"/>
    <n v="2783"/>
    <x v="0"/>
    <x v="1"/>
  </r>
  <r>
    <n v="1927972279"/>
    <x v="9"/>
    <n v="3198"/>
    <n v="2.21000003814697"/>
    <n v="2.21000003814697"/>
    <n v="0"/>
    <n v="0"/>
    <n v="0"/>
    <n v="2.21000003814697"/>
    <n v="0"/>
    <n v="0"/>
    <n v="0"/>
    <n v="146"/>
    <n v="1183"/>
    <n v="2449"/>
    <x v="0"/>
    <x v="1"/>
  </r>
  <r>
    <n v="1927972279"/>
    <x v="10"/>
    <n v="2352"/>
    <n v="1.62999999523163"/>
    <n v="1.62999999523163"/>
    <n v="0"/>
    <n v="0"/>
    <n v="0"/>
    <n v="1.62999999523163"/>
    <n v="0"/>
    <n v="0"/>
    <n v="0"/>
    <n v="128"/>
    <n v="829"/>
    <n v="2380"/>
    <x v="0"/>
    <x v="0"/>
  </r>
  <r>
    <n v="1927972279"/>
    <x v="11"/>
    <n v="2234"/>
    <n v="1.54999995231628"/>
    <n v="1.54999995231628"/>
    <n v="0"/>
    <n v="0"/>
    <n v="0"/>
    <n v="1.54999995231628"/>
    <n v="0"/>
    <n v="0"/>
    <n v="0"/>
    <n v="108"/>
    <n v="912"/>
    <n v="2344"/>
    <x v="0"/>
    <x v="0"/>
  </r>
  <r>
    <n v="1927972279"/>
    <x v="12"/>
    <n v="1259"/>
    <n v="0.87000000476837203"/>
    <n v="0.87000000476837203"/>
    <n v="0"/>
    <n v="0"/>
    <n v="0"/>
    <n v="0.87000000476837203"/>
    <n v="0"/>
    <n v="0"/>
    <n v="0"/>
    <n v="73"/>
    <n v="938"/>
    <n v="2202"/>
    <x v="0"/>
    <x v="0"/>
  </r>
  <r>
    <n v="1927972279"/>
    <x v="13"/>
    <n v="768"/>
    <n v="0.52999997138977095"/>
    <n v="0.52999997138977095"/>
    <n v="0"/>
    <n v="0"/>
    <n v="0"/>
    <n v="0.52999997138977095"/>
    <n v="0"/>
    <n v="0"/>
    <n v="0"/>
    <n v="43"/>
    <n v="1397"/>
    <n v="2130"/>
    <x v="0"/>
    <x v="0"/>
  </r>
  <r>
    <n v="1927972279"/>
    <x v="14"/>
    <n v="519"/>
    <n v="0.36000001430511502"/>
    <n v="0.36000001430511502"/>
    <n v="0"/>
    <n v="0"/>
    <n v="0"/>
    <n v="0.36000001430511502"/>
    <n v="0"/>
    <n v="0"/>
    <n v="0"/>
    <n v="34"/>
    <n v="1406"/>
    <n v="2088"/>
    <x v="0"/>
    <x v="0"/>
  </r>
  <r>
    <n v="1927972279"/>
    <x v="15"/>
    <n v="2523"/>
    <n v="1.75"/>
    <n v="1.75"/>
    <n v="0"/>
    <n v="0"/>
    <n v="0.37000000476837203"/>
    <n v="1.37999999523163"/>
    <n v="0"/>
    <n v="0"/>
    <n v="9"/>
    <n v="134"/>
    <n v="1250"/>
    <n v="2443"/>
    <x v="0"/>
    <x v="1"/>
  </r>
  <r>
    <n v="1927972279"/>
    <x v="16"/>
    <n v="2105"/>
    <n v="1.46000003814697"/>
    <n v="1.46000003814697"/>
    <n v="0"/>
    <n v="0"/>
    <n v="0"/>
    <n v="1.46000003814697"/>
    <n v="0"/>
    <n v="0"/>
    <n v="0"/>
    <n v="139"/>
    <n v="805"/>
    <n v="2442"/>
    <x v="0"/>
    <x v="1"/>
  </r>
  <r>
    <n v="1927972279"/>
    <x v="17"/>
    <n v="1209"/>
    <n v="0.83999997377395597"/>
    <n v="0.83999997377395597"/>
    <n v="0"/>
    <n v="0"/>
    <n v="0"/>
    <n v="0.83999997377395597"/>
    <n v="0"/>
    <n v="0"/>
    <n v="0"/>
    <n v="73"/>
    <n v="842"/>
    <n v="2255"/>
    <x v="0"/>
    <x v="0"/>
  </r>
  <r>
    <n v="1927972279"/>
    <x v="18"/>
    <n v="24"/>
    <n v="1.9999999552965199E-2"/>
    <n v="1.9999999552965199E-2"/>
    <n v="0"/>
    <n v="0"/>
    <n v="0"/>
    <n v="1.9999999552965199E-2"/>
    <n v="0"/>
    <n v="0"/>
    <n v="0"/>
    <n v="3"/>
    <n v="161"/>
    <n v="942"/>
    <x v="0"/>
    <x v="0"/>
  </r>
  <r>
    <n v="2022484408"/>
    <x v="7"/>
    <n v="13603"/>
    <n v="9.6000003814697301"/>
    <n v="9.6000003814697301"/>
    <n v="0"/>
    <n v="5.46000003814697"/>
    <n v="0.62999999523162797"/>
    <n v="3.5099999904632599"/>
    <n v="0"/>
    <n v="72"/>
    <n v="16"/>
    <n v="213"/>
    <n v="1139"/>
    <n v="2645"/>
    <x v="0"/>
    <x v="0"/>
  </r>
  <r>
    <n v="2022484408"/>
    <x v="8"/>
    <n v="5477"/>
    <n v="3.8399999141693102"/>
    <n v="3.8399999141693102"/>
    <n v="0"/>
    <n v="0"/>
    <n v="0"/>
    <n v="3.8399999141693102"/>
    <n v="0"/>
    <n v="0"/>
    <n v="0"/>
    <n v="237"/>
    <n v="1203"/>
    <n v="2040"/>
    <x v="0"/>
    <x v="1"/>
  </r>
  <r>
    <n v="2022484408"/>
    <x v="9"/>
    <n v="11144"/>
    <n v="7.8200001716613796"/>
    <n v="7.8200001716613796"/>
    <n v="0"/>
    <n v="1.78999996185303"/>
    <n v="0.88999998569488503"/>
    <n v="5.1399998664856001"/>
    <n v="0"/>
    <n v="25"/>
    <n v="22"/>
    <n v="279"/>
    <n v="1114"/>
    <n v="2395"/>
    <x v="0"/>
    <x v="1"/>
  </r>
  <r>
    <n v="2022484408"/>
    <x v="10"/>
    <n v="15313"/>
    <n v="11"/>
    <n v="11"/>
    <n v="0"/>
    <n v="5.0199999809265101"/>
    <n v="1.28999996185303"/>
    <n v="4.6900000572204599"/>
    <n v="0"/>
    <n v="62"/>
    <n v="19"/>
    <n v="233"/>
    <n v="1126"/>
    <n v="2581"/>
    <x v="0"/>
    <x v="0"/>
  </r>
  <r>
    <n v="2022484408"/>
    <x v="11"/>
    <n v="10805"/>
    <n v="7.5900001525878897"/>
    <n v="7.5900001525878897"/>
    <n v="0"/>
    <n v="0.72000002861022905"/>
    <n v="0.980000019073486"/>
    <n v="5.8899998664856001"/>
    <n v="0"/>
    <n v="36"/>
    <n v="37"/>
    <n v="298"/>
    <n v="1069"/>
    <n v="2735"/>
    <x v="0"/>
    <x v="0"/>
  </r>
  <r>
    <n v="2022484408"/>
    <x v="12"/>
    <n v="15392"/>
    <n v="10.930000305175801"/>
    <n v="10.930000305175801"/>
    <n v="0"/>
    <n v="3.4300000667571999"/>
    <n v="1.75"/>
    <n v="5.75"/>
    <n v="0"/>
    <n v="47"/>
    <n v="42"/>
    <n v="258"/>
    <n v="1093"/>
    <n v="2733"/>
    <x v="0"/>
    <x v="0"/>
  </r>
  <r>
    <n v="2022484408"/>
    <x v="13"/>
    <n v="18247"/>
    <n v="13.829999923706101"/>
    <n v="13.829999923706101"/>
    <n v="0"/>
    <n v="7.1100001335143999"/>
    <n v="2.21000003814697"/>
    <n v="4.5100002288818404"/>
    <n v="0"/>
    <n v="72"/>
    <n v="62"/>
    <n v="252"/>
    <n v="1054"/>
    <n v="3021"/>
    <x v="0"/>
    <x v="0"/>
  </r>
  <r>
    <n v="2022484408"/>
    <x v="14"/>
    <n v="13023"/>
    <n v="9.2600002288818395"/>
    <n v="9.2600002288818395"/>
    <n v="0"/>
    <n v="3.2300000190734899"/>
    <n v="0.56000000238418601"/>
    <n v="5.4699997901916504"/>
    <n v="0"/>
    <n v="40"/>
    <n v="12"/>
    <n v="296"/>
    <n v="1092"/>
    <n v="2577"/>
    <x v="0"/>
    <x v="0"/>
  </r>
  <r>
    <n v="2022484408"/>
    <x v="15"/>
    <n v="16267"/>
    <n v="12.5900001525879"/>
    <n v="12.5900001525879"/>
    <n v="0"/>
    <n v="5.75"/>
    <n v="0.46999999880790699"/>
    <n v="6.3699998855590803"/>
    <n v="0"/>
    <n v="44"/>
    <n v="16"/>
    <n v="302"/>
    <n v="1078"/>
    <n v="2811"/>
    <x v="0"/>
    <x v="1"/>
  </r>
  <r>
    <n v="2022484408"/>
    <x v="16"/>
    <n v="10005"/>
    <n v="7.0199999809265101"/>
    <n v="7.0199999809265101"/>
    <n v="0"/>
    <n v="7.9999998211860698E-2"/>
    <n v="1.04999995231628"/>
    <n v="5.9000000953674299"/>
    <n v="0"/>
    <n v="1"/>
    <n v="23"/>
    <n v="339"/>
    <n v="1077"/>
    <n v="2458"/>
    <x v="0"/>
    <x v="1"/>
  </r>
  <r>
    <n v="2022484408"/>
    <x v="17"/>
    <n v="10106"/>
    <n v="7.0900001525878897"/>
    <n v="7.0900001525878897"/>
    <n v="0"/>
    <n v="1.21000003814697"/>
    <n v="0.56000000238418601"/>
    <n v="5.3299999237060502"/>
    <n v="0"/>
    <n v="41"/>
    <n v="16"/>
    <n v="272"/>
    <n v="1111"/>
    <n v="2568"/>
    <x v="0"/>
    <x v="0"/>
  </r>
  <r>
    <n v="2022484408"/>
    <x v="18"/>
    <n v="6717"/>
    <n v="4.7199997901916504"/>
    <n v="4.7199997901916504"/>
    <n v="0"/>
    <n v="3.2300000190734899"/>
    <n v="0.21999999880790699"/>
    <n v="1.2699999809265099"/>
    <n v="0"/>
    <n v="41"/>
    <n v="5"/>
    <n v="67"/>
    <n v="551"/>
    <n v="1140"/>
    <x v="0"/>
    <x v="0"/>
  </r>
  <r>
    <n v="2026352035"/>
    <x v="7"/>
    <n v="2605"/>
    <n v="1.62000000476837"/>
    <n v="1.62000000476837"/>
    <n v="0"/>
    <n v="0"/>
    <n v="0"/>
    <n v="1.62000000476837"/>
    <n v="0"/>
    <n v="0"/>
    <n v="0"/>
    <n v="166"/>
    <n v="729"/>
    <n v="1407"/>
    <x v="0"/>
    <x v="0"/>
  </r>
  <r>
    <n v="2026352035"/>
    <x v="8"/>
    <n v="1229"/>
    <n v="0.75999999046325695"/>
    <n v="0.75999999046325695"/>
    <n v="0"/>
    <n v="0"/>
    <n v="0"/>
    <n v="0.75999999046325695"/>
    <n v="0"/>
    <n v="0"/>
    <n v="0"/>
    <n v="69"/>
    <n v="795"/>
    <n v="1237"/>
    <x v="0"/>
    <x v="1"/>
  </r>
  <r>
    <n v="2026352035"/>
    <x v="9"/>
    <n v="2308"/>
    <n v="1.4299999475479099"/>
    <n v="1.4299999475479099"/>
    <n v="0"/>
    <n v="0"/>
    <n v="0"/>
    <n v="1.4299999475479099"/>
    <n v="0"/>
    <n v="0"/>
    <n v="0"/>
    <n v="115"/>
    <n v="720"/>
    <n v="1330"/>
    <x v="0"/>
    <x v="1"/>
  </r>
  <r>
    <n v="2026352035"/>
    <x v="10"/>
    <n v="6679"/>
    <n v="4.1399998664856001"/>
    <n v="4.1399998664856001"/>
    <n v="0"/>
    <n v="0"/>
    <n v="0"/>
    <n v="4.1399998664856001"/>
    <n v="0"/>
    <n v="0"/>
    <n v="0"/>
    <n v="263"/>
    <n v="644"/>
    <n v="1583"/>
    <x v="0"/>
    <x v="0"/>
  </r>
  <r>
    <n v="2026352035"/>
    <x v="11"/>
    <n v="5645"/>
    <n v="3.5"/>
    <n v="3.5"/>
    <n v="0"/>
    <n v="0"/>
    <n v="0"/>
    <n v="3.5"/>
    <n v="0"/>
    <n v="0"/>
    <n v="0"/>
    <n v="248"/>
    <n v="621"/>
    <n v="1538"/>
    <x v="0"/>
    <x v="0"/>
  </r>
  <r>
    <n v="2026352035"/>
    <x v="12"/>
    <n v="3180"/>
    <n v="1.9700000286102299"/>
    <n v="1.9700000286102299"/>
    <n v="0"/>
    <n v="0"/>
    <n v="0"/>
    <n v="1.9700000286102299"/>
    <n v="0"/>
    <n v="0"/>
    <n v="0"/>
    <n v="185"/>
    <n v="738"/>
    <n v="1421"/>
    <x v="0"/>
    <x v="0"/>
  </r>
  <r>
    <n v="2026352035"/>
    <x v="13"/>
    <n v="2767"/>
    <n v="1.7200000286102299"/>
    <n v="1.7200000286102299"/>
    <n v="0"/>
    <n v="0"/>
    <n v="0"/>
    <n v="1.7200000286102299"/>
    <n v="0"/>
    <n v="0"/>
    <n v="0"/>
    <n v="170"/>
    <n v="673"/>
    <n v="1392"/>
    <x v="0"/>
    <x v="0"/>
  </r>
  <r>
    <n v="2026352035"/>
    <x v="14"/>
    <n v="3762"/>
    <n v="2.3299999237060498"/>
    <n v="2.3299999237060498"/>
    <n v="0"/>
    <n v="0"/>
    <n v="0"/>
    <n v="2.3299999237060498"/>
    <n v="0"/>
    <n v="0"/>
    <n v="0"/>
    <n v="173"/>
    <n v="719"/>
    <n v="1425"/>
    <x v="0"/>
    <x v="0"/>
  </r>
  <r>
    <n v="2026352035"/>
    <x v="15"/>
    <n v="3098"/>
    <n v="1.91999995708466"/>
    <n v="1.91999995708466"/>
    <n v="0"/>
    <n v="0"/>
    <n v="0"/>
    <n v="1.91999995708466"/>
    <n v="0"/>
    <n v="0"/>
    <n v="0"/>
    <n v="185"/>
    <n v="700"/>
    <n v="1413"/>
    <x v="0"/>
    <x v="1"/>
  </r>
  <r>
    <n v="2026352035"/>
    <x v="16"/>
    <n v="5142"/>
    <n v="3.1900000572204599"/>
    <n v="3.1900000572204599"/>
    <n v="0"/>
    <n v="0"/>
    <n v="0"/>
    <n v="3.1900000572204599"/>
    <n v="0"/>
    <n v="0"/>
    <n v="0"/>
    <n v="230"/>
    <n v="654"/>
    <n v="1515"/>
    <x v="0"/>
    <x v="1"/>
  </r>
  <r>
    <n v="2026352035"/>
    <x v="17"/>
    <n v="3279"/>
    <n v="2.0299999713897701"/>
    <n v="2.0299999713897701"/>
    <n v="0"/>
    <n v="0"/>
    <n v="0"/>
    <n v="2.0299999713897701"/>
    <n v="0"/>
    <n v="0"/>
    <n v="0"/>
    <n v="164"/>
    <n v="694"/>
    <n v="1405"/>
    <x v="0"/>
    <x v="0"/>
  </r>
  <r>
    <n v="2026352035"/>
    <x v="18"/>
    <n v="1019"/>
    <n v="0.62999999523162797"/>
    <n v="0.62999999523162797"/>
    <n v="0"/>
    <n v="0"/>
    <n v="0"/>
    <n v="0.62999999523162797"/>
    <n v="0"/>
    <n v="0"/>
    <n v="0"/>
    <n v="64"/>
    <n v="223"/>
    <n v="600"/>
    <x v="0"/>
    <x v="0"/>
  </r>
  <r>
    <n v="2320127002"/>
    <x v="7"/>
    <n v="0"/>
    <n v="0"/>
    <n v="0"/>
    <n v="0"/>
    <n v="0"/>
    <n v="0"/>
    <n v="0"/>
    <n v="0"/>
    <n v="0"/>
    <n v="0"/>
    <n v="0"/>
    <n v="1440"/>
    <n v="1324"/>
    <x v="0"/>
    <x v="0"/>
  </r>
  <r>
    <n v="2320127002"/>
    <x v="8"/>
    <n v="0"/>
    <n v="0"/>
    <n v="0"/>
    <n v="0"/>
    <n v="0"/>
    <n v="0"/>
    <n v="0"/>
    <n v="0"/>
    <n v="0"/>
    <n v="0"/>
    <n v="0"/>
    <n v="1440"/>
    <n v="1324"/>
    <x v="0"/>
    <x v="1"/>
  </r>
  <r>
    <n v="2320127002"/>
    <x v="9"/>
    <n v="0"/>
    <n v="0"/>
    <n v="0"/>
    <n v="0"/>
    <n v="0"/>
    <n v="0"/>
    <n v="0"/>
    <n v="0"/>
    <n v="0"/>
    <n v="0"/>
    <n v="0"/>
    <n v="1440"/>
    <n v="1324"/>
    <x v="0"/>
    <x v="1"/>
  </r>
  <r>
    <n v="2320127002"/>
    <x v="10"/>
    <n v="0"/>
    <n v="0"/>
    <n v="0"/>
    <n v="0"/>
    <n v="0"/>
    <n v="0"/>
    <n v="0"/>
    <n v="0"/>
    <n v="0"/>
    <n v="0"/>
    <n v="0"/>
    <n v="1440"/>
    <n v="1324"/>
    <x v="0"/>
    <x v="0"/>
  </r>
  <r>
    <n v="2320127002"/>
    <x v="11"/>
    <n v="4931"/>
    <n v="3.3199999332428001"/>
    <n v="3.3199999332428001"/>
    <n v="0"/>
    <n v="0"/>
    <n v="0"/>
    <n v="3.3199999332428001"/>
    <n v="0"/>
    <n v="0"/>
    <n v="0"/>
    <n v="175"/>
    <n v="1265"/>
    <n v="1708"/>
    <x v="0"/>
    <x v="0"/>
  </r>
  <r>
    <n v="2320127002"/>
    <x v="12"/>
    <n v="6999"/>
    <n v="4.7199997901916504"/>
    <n v="4.7199997901916504"/>
    <n v="0"/>
    <n v="0"/>
    <n v="0"/>
    <n v="4.7199997901916504"/>
    <n v="0"/>
    <n v="0"/>
    <n v="0"/>
    <n v="320"/>
    <n v="1120"/>
    <n v="1950"/>
    <x v="0"/>
    <x v="0"/>
  </r>
  <r>
    <n v="2320127002"/>
    <x v="13"/>
    <n v="1846"/>
    <n v="1.2400000095367401"/>
    <n v="1.2400000095367401"/>
    <n v="0"/>
    <n v="0"/>
    <n v="0"/>
    <n v="1.2400000095367401"/>
    <n v="0"/>
    <n v="0"/>
    <n v="0"/>
    <n v="93"/>
    <n v="1347"/>
    <n v="1508"/>
    <x v="0"/>
    <x v="0"/>
  </r>
  <r>
    <n v="2320127002"/>
    <x v="14"/>
    <n v="3417"/>
    <n v="2.2999999523162802"/>
    <n v="2.2999999523162802"/>
    <n v="0"/>
    <n v="0"/>
    <n v="0"/>
    <n v="2.2999999523162802"/>
    <n v="0"/>
    <n v="0"/>
    <n v="0"/>
    <n v="153"/>
    <n v="1287"/>
    <n v="1625"/>
    <x v="0"/>
    <x v="0"/>
  </r>
  <r>
    <n v="2320127002"/>
    <x v="15"/>
    <n v="4863"/>
    <n v="3.2799999713897701"/>
    <n v="3.2799999713897701"/>
    <n v="0"/>
    <n v="5.9999998658895499E-2"/>
    <n v="0.41999998688697798"/>
    <n v="2.7999999523162802"/>
    <n v="0"/>
    <n v="1"/>
    <n v="11"/>
    <n v="208"/>
    <n v="1220"/>
    <n v="1772"/>
    <x v="0"/>
    <x v="1"/>
  </r>
  <r>
    <n v="2320127002"/>
    <x v="16"/>
    <n v="2277"/>
    <n v="1.5299999713897701"/>
    <n v="1.5299999713897701"/>
    <n v="0"/>
    <n v="0"/>
    <n v="0"/>
    <n v="1.5299999713897701"/>
    <n v="0"/>
    <n v="0"/>
    <n v="0"/>
    <n v="103"/>
    <n v="1337"/>
    <n v="1530"/>
    <x v="0"/>
    <x v="1"/>
  </r>
  <r>
    <n v="2320127002"/>
    <x v="17"/>
    <n v="11230"/>
    <n v="7.6700000762939498"/>
    <n v="7.6700000762939498"/>
    <n v="0"/>
    <n v="0.88999998569488503"/>
    <n v="0.119999997317791"/>
    <n v="6.6599998474121103"/>
    <n v="0"/>
    <n v="10"/>
    <n v="2"/>
    <n v="390"/>
    <n v="1038"/>
    <n v="2206"/>
    <x v="0"/>
    <x v="0"/>
  </r>
  <r>
    <n v="2320127002"/>
    <x v="18"/>
    <n v="2098"/>
    <n v="1.4099999666214"/>
    <n v="1.4099999666214"/>
    <n v="0"/>
    <n v="0"/>
    <n v="0"/>
    <n v="1.4099999666214"/>
    <n v="0"/>
    <n v="0"/>
    <n v="0"/>
    <n v="69"/>
    <n v="617"/>
    <n v="790"/>
    <x v="0"/>
    <x v="0"/>
  </r>
  <r>
    <n v="2347167796"/>
    <x v="4"/>
    <n v="10272"/>
    <n v="6.78999996185303"/>
    <n v="6.78999996185303"/>
    <n v="0"/>
    <n v="0.15999999642372101"/>
    <n v="3.1199998855590798"/>
    <n v="3.5"/>
    <n v="0"/>
    <n v="2"/>
    <n v="58"/>
    <n v="208"/>
    <n v="700"/>
    <n v="2041"/>
    <x v="0"/>
    <x v="0"/>
  </r>
  <r>
    <n v="2347167796"/>
    <x v="5"/>
    <n v="10533"/>
    <n v="7.0999999046325701"/>
    <n v="7.0999999046325701"/>
    <n v="0"/>
    <n v="1.7699999809265099"/>
    <n v="2.0599999427795401"/>
    <n v="3.2699999809265101"/>
    <n v="0"/>
    <n v="21"/>
    <n v="35"/>
    <n v="255"/>
    <n v="615"/>
    <n v="2187"/>
    <x v="0"/>
    <x v="0"/>
  </r>
  <r>
    <n v="2347167796"/>
    <x v="6"/>
    <n v="6760"/>
    <n v="4.4699997901916504"/>
    <n v="4.4699997901916504"/>
    <n v="0"/>
    <n v="0"/>
    <n v="0"/>
    <n v="4.4699997901916504"/>
    <n v="0"/>
    <n v="0"/>
    <n v="0"/>
    <n v="250"/>
    <n v="613"/>
    <n v="1929"/>
    <x v="0"/>
    <x v="0"/>
  </r>
  <r>
    <n v="2347167796"/>
    <x v="7"/>
    <n v="8328"/>
    <n v="5.5100002288818404"/>
    <n v="5.5100002288818404"/>
    <n v="0"/>
    <n v="0"/>
    <n v="2"/>
    <n v="3.5"/>
    <n v="0"/>
    <n v="0"/>
    <n v="33"/>
    <n v="212"/>
    <n v="804"/>
    <n v="1935"/>
    <x v="0"/>
    <x v="0"/>
  </r>
  <r>
    <n v="2347167796"/>
    <x v="8"/>
    <n v="15459"/>
    <n v="10.2200002670288"/>
    <n v="10.2200002670288"/>
    <n v="0"/>
    <n v="3.5899999141693102"/>
    <n v="0.81000000238418601"/>
    <n v="5.8200001716613796"/>
    <n v="0"/>
    <n v="51"/>
    <n v="16"/>
    <n v="327"/>
    <n v="583"/>
    <n v="2438"/>
    <x v="0"/>
    <x v="1"/>
  </r>
  <r>
    <n v="2347167796"/>
    <x v="9"/>
    <n v="7485"/>
    <n v="4.9499998092651403"/>
    <n v="4.9499998092651403"/>
    <n v="0"/>
    <n v="0"/>
    <n v="0"/>
    <n v="4.9499998092651403"/>
    <n v="0"/>
    <n v="0"/>
    <n v="0"/>
    <n v="324"/>
    <n v="491"/>
    <n v="2035"/>
    <x v="0"/>
    <x v="1"/>
  </r>
  <r>
    <n v="2347167796"/>
    <x v="10"/>
    <n v="10254"/>
    <n v="6.8000001907348597"/>
    <n v="6.8000001907348597"/>
    <n v="0"/>
    <n v="1.41999995708466"/>
    <n v="1.2300000190734901"/>
    <n v="4.1599998474121103"/>
    <n v="0"/>
    <n v="21"/>
    <n v="25"/>
    <n v="231"/>
    <n v="638"/>
    <n v="2099"/>
    <x v="0"/>
    <x v="0"/>
  </r>
  <r>
    <n v="2347167796"/>
    <x v="11"/>
    <n v="10114"/>
    <n v="6.8200001716613796"/>
    <n v="6.8200001716613796"/>
    <n v="0"/>
    <n v="1.6399999856948899"/>
    <n v="0.479999989271164"/>
    <n v="4.6799998283386204"/>
    <n v="0"/>
    <n v="18"/>
    <n v="9"/>
    <n v="269"/>
    <n v="696"/>
    <n v="2096"/>
    <x v="0"/>
    <x v="0"/>
  </r>
  <r>
    <n v="2347167796"/>
    <x v="12"/>
    <n v="11107"/>
    <n v="7.3400001525878897"/>
    <n v="7.3400001525878897"/>
    <n v="0"/>
    <n v="0.89999997615814198"/>
    <n v="2.7599999904632599"/>
    <n v="3.6800000667571999"/>
    <n v="0"/>
    <n v="14"/>
    <n v="46"/>
    <n v="196"/>
    <n v="759"/>
    <n v="2058"/>
    <x v="0"/>
    <x v="0"/>
  </r>
  <r>
    <n v="2347167796"/>
    <x v="13"/>
    <n v="10320"/>
    <n v="6.8499999046325701"/>
    <n v="6.8499999046325701"/>
    <n v="0"/>
    <n v="0.68000000715255704"/>
    <n v="1.2300000190734901"/>
    <n v="4.9400000572204599"/>
    <n v="0"/>
    <n v="15"/>
    <n v="32"/>
    <n v="315"/>
    <n v="1002"/>
    <n v="2338"/>
    <x v="0"/>
    <x v="0"/>
  </r>
  <r>
    <n v="2347167796"/>
    <x v="14"/>
    <n v="10209"/>
    <n v="6.75"/>
    <n v="6.75"/>
    <n v="0"/>
    <n v="0.15999999642372101"/>
    <n v="0.34999999403953602"/>
    <n v="6.2300000190734899"/>
    <n v="0"/>
    <n v="2"/>
    <n v="6"/>
    <n v="316"/>
    <n v="711"/>
    <n v="2104"/>
    <x v="0"/>
    <x v="0"/>
  </r>
  <r>
    <n v="2347167796"/>
    <x v="15"/>
    <n v="16081"/>
    <n v="10.6300001144409"/>
    <n v="10.6300001144409"/>
    <n v="0"/>
    <n v="1.25"/>
    <n v="1.8200000524520901"/>
    <n v="7.5599999427795401"/>
    <n v="0"/>
    <n v="16"/>
    <n v="32"/>
    <n v="401"/>
    <n v="970"/>
    <n v="2488"/>
    <x v="0"/>
    <x v="1"/>
  </r>
  <r>
    <n v="2347167796"/>
    <x v="16"/>
    <n v="10078"/>
    <n v="6.8299999237060502"/>
    <n v="6.8299999237060502"/>
    <n v="0"/>
    <n v="1.0199999809265099"/>
    <n v="0.119999997317791"/>
    <n v="5.6900000572204599"/>
    <n v="0"/>
    <n v="12"/>
    <n v="3"/>
    <n v="303"/>
    <n v="463"/>
    <n v="2164"/>
    <x v="0"/>
    <x v="1"/>
  </r>
  <r>
    <n v="2347167796"/>
    <x v="17"/>
    <n v="10001"/>
    <n v="6.6100001335143999"/>
    <n v="6.6100001335143999"/>
    <n v="0"/>
    <n v="0.33000001311302202"/>
    <n v="2.9300000667571999"/>
    <n v="3.3599998950958301"/>
    <n v="0"/>
    <n v="5"/>
    <n v="52"/>
    <n v="196"/>
    <n v="788"/>
    <n v="2009"/>
    <x v="0"/>
    <x v="0"/>
  </r>
  <r>
    <n v="2347167796"/>
    <x v="18"/>
    <n v="0"/>
    <n v="0"/>
    <n v="0"/>
    <n v="0"/>
    <n v="0"/>
    <n v="0"/>
    <n v="0"/>
    <n v="0"/>
    <n v="0"/>
    <n v="0"/>
    <n v="0"/>
    <n v="425"/>
    <n v="399"/>
    <x v="0"/>
    <x v="0"/>
  </r>
  <r>
    <n v="2873212765"/>
    <x v="7"/>
    <n v="890"/>
    <n v="0.60000002384185802"/>
    <n v="0.60000002384185802"/>
    <n v="0"/>
    <n v="0"/>
    <n v="0"/>
    <n v="0.60000002384185802"/>
    <n v="0"/>
    <n v="0"/>
    <n v="0"/>
    <n v="41"/>
    <n v="1399"/>
    <n v="1335"/>
    <x v="0"/>
    <x v="0"/>
  </r>
  <r>
    <n v="2873212765"/>
    <x v="8"/>
    <n v="2214"/>
    <n v="1.4900000095367401"/>
    <n v="1.4900000095367401"/>
    <n v="0"/>
    <n v="0"/>
    <n v="0"/>
    <n v="1.4900000095367401"/>
    <n v="0"/>
    <n v="0"/>
    <n v="0"/>
    <n v="197"/>
    <n v="1243"/>
    <n v="1559"/>
    <x v="0"/>
    <x v="1"/>
  </r>
  <r>
    <n v="2873212765"/>
    <x v="9"/>
    <n v="7640"/>
    <n v="5.1300001144409197"/>
    <n v="5.1300001144409197"/>
    <n v="0"/>
    <n v="0.18999999761581399"/>
    <n v="0.80000001192092896"/>
    <n v="4.1500000953674299"/>
    <n v="0"/>
    <n v="3"/>
    <n v="15"/>
    <n v="315"/>
    <n v="1107"/>
    <n v="1845"/>
    <x v="0"/>
    <x v="1"/>
  </r>
  <r>
    <n v="2873212765"/>
    <x v="10"/>
    <n v="9713"/>
    <n v="6.5300002098083496"/>
    <n v="6.5300002098083496"/>
    <n v="0"/>
    <n v="0.34000000357627902"/>
    <n v="0.88999998569488503"/>
    <n v="5.28999996185303"/>
    <n v="0"/>
    <n v="6"/>
    <n v="24"/>
    <n v="355"/>
    <n v="1055"/>
    <n v="2046"/>
    <x v="0"/>
    <x v="0"/>
  </r>
  <r>
    <n v="2873212765"/>
    <x v="11"/>
    <n v="8432"/>
    <n v="5.6700000762939498"/>
    <n v="5.6700000762939498"/>
    <n v="0"/>
    <n v="0"/>
    <n v="0"/>
    <n v="5.6500000953674299"/>
    <n v="9.9999997764825804E-3"/>
    <n v="0"/>
    <n v="0"/>
    <n v="374"/>
    <n v="1066"/>
    <n v="1953"/>
    <x v="0"/>
    <x v="0"/>
  </r>
  <r>
    <n v="2873212765"/>
    <x v="12"/>
    <n v="7350"/>
    <n v="4.9400000572204599"/>
    <n v="4.9400000572204599"/>
    <n v="0"/>
    <n v="0"/>
    <n v="0"/>
    <n v="4.9400000572204599"/>
    <n v="0"/>
    <n v="0"/>
    <n v="0"/>
    <n v="382"/>
    <n v="1058"/>
    <n v="1910"/>
    <x v="0"/>
    <x v="0"/>
  </r>
  <r>
    <n v="2873212765"/>
    <x v="13"/>
    <n v="9353"/>
    <n v="6.3099999427795401"/>
    <n v="6.3099999427795401"/>
    <n v="0"/>
    <n v="0.37000000476837203"/>
    <n v="0.68999999761581399"/>
    <n v="5.2399997711181596"/>
    <n v="0"/>
    <n v="5"/>
    <n v="17"/>
    <n v="363"/>
    <n v="1055"/>
    <n v="2035"/>
    <x v="0"/>
    <x v="0"/>
  </r>
  <r>
    <n v="2873212765"/>
    <x v="14"/>
    <n v="7157"/>
    <n v="4.8099999427795401"/>
    <n v="4.8099999427795401"/>
    <n v="0"/>
    <n v="0"/>
    <n v="0"/>
    <n v="4.8099999427795401"/>
    <n v="0"/>
    <n v="0"/>
    <n v="0"/>
    <n v="380"/>
    <n v="1060"/>
    <n v="1944"/>
    <x v="0"/>
    <x v="0"/>
  </r>
  <r>
    <n v="2873212765"/>
    <x v="15"/>
    <n v="14103"/>
    <n v="9.5600004196166992"/>
    <n v="9.5600004196166992"/>
    <n v="0"/>
    <n v="3.0199999809265101"/>
    <n v="0.40999999642372098"/>
    <n v="6.1399998664856001"/>
    <n v="9.9999997764825804E-3"/>
    <n v="46"/>
    <n v="8"/>
    <n v="288"/>
    <n v="1098"/>
    <n v="2257"/>
    <x v="0"/>
    <x v="1"/>
  </r>
  <r>
    <n v="2873212765"/>
    <x v="16"/>
    <n v="5290"/>
    <n v="3.5499999523162802"/>
    <n v="3.5499999523162802"/>
    <n v="0"/>
    <n v="3.9999999105930301E-2"/>
    <n v="0.34000000357627902"/>
    <n v="3.1700000762939502"/>
    <n v="0"/>
    <n v="1"/>
    <n v="8"/>
    <n v="251"/>
    <n v="1180"/>
    <n v="1724"/>
    <x v="0"/>
    <x v="1"/>
  </r>
  <r>
    <n v="2873212765"/>
    <x v="17"/>
    <n v="7497"/>
    <n v="5.03999996185303"/>
    <n v="5.03999996185303"/>
    <n v="0"/>
    <n v="0"/>
    <n v="0"/>
    <n v="5.03999996185303"/>
    <n v="0"/>
    <n v="0"/>
    <n v="0"/>
    <n v="357"/>
    <n v="882"/>
    <n v="1741"/>
    <x v="0"/>
    <x v="0"/>
  </r>
  <r>
    <n v="2873212765"/>
    <x v="18"/>
    <n v="0"/>
    <n v="0"/>
    <n v="0"/>
    <n v="0"/>
    <n v="0"/>
    <n v="0"/>
    <n v="0"/>
    <n v="0"/>
    <n v="0"/>
    <n v="0"/>
    <n v="0"/>
    <n v="1440"/>
    <n v="0"/>
    <x v="0"/>
    <x v="0"/>
  </r>
  <r>
    <n v="2891001357"/>
    <x v="4"/>
    <n v="0"/>
    <n v="0"/>
    <n v="0"/>
    <n v="0"/>
    <n v="0"/>
    <n v="0"/>
    <n v="0"/>
    <n v="0"/>
    <n v="0"/>
    <n v="0"/>
    <n v="0"/>
    <n v="1440"/>
    <n v="1920"/>
    <x v="0"/>
    <x v="0"/>
  </r>
  <r>
    <n v="2891001357"/>
    <x v="5"/>
    <n v="0"/>
    <n v="0"/>
    <n v="0"/>
    <n v="0"/>
    <n v="0"/>
    <n v="0"/>
    <n v="0"/>
    <n v="0"/>
    <n v="0"/>
    <n v="0"/>
    <n v="0"/>
    <n v="1440"/>
    <n v="1920"/>
    <x v="0"/>
    <x v="0"/>
  </r>
  <r>
    <n v="2891001357"/>
    <x v="6"/>
    <n v="0"/>
    <n v="0"/>
    <n v="0"/>
    <n v="0"/>
    <n v="0"/>
    <n v="0"/>
    <n v="0"/>
    <n v="0"/>
    <n v="0"/>
    <n v="0"/>
    <n v="0"/>
    <n v="1440"/>
    <n v="1920"/>
    <x v="0"/>
    <x v="0"/>
  </r>
  <r>
    <n v="2891001357"/>
    <x v="7"/>
    <n v="0"/>
    <n v="0"/>
    <n v="0"/>
    <n v="4.8280320167541504"/>
    <n v="0"/>
    <n v="0"/>
    <n v="0"/>
    <n v="0"/>
    <n v="0"/>
    <n v="660"/>
    <n v="0"/>
    <n v="780"/>
    <n v="4562"/>
    <x v="1"/>
    <x v="0"/>
  </r>
  <r>
    <n v="2891001357"/>
    <x v="8"/>
    <n v="4126"/>
    <n v="3.2200000286102299"/>
    <n v="0"/>
    <n v="3.21868801116943"/>
    <n v="0"/>
    <n v="0"/>
    <n v="3.2200000286102299"/>
    <n v="0"/>
    <n v="0"/>
    <n v="0"/>
    <n v="720"/>
    <n v="720"/>
    <n v="2881"/>
    <x v="0"/>
    <x v="1"/>
  </r>
  <r>
    <n v="2891001357"/>
    <x v="9"/>
    <n v="0"/>
    <n v="0"/>
    <n v="0"/>
    <n v="0"/>
    <n v="0"/>
    <n v="0"/>
    <n v="0"/>
    <n v="0"/>
    <n v="0"/>
    <n v="0"/>
    <n v="0"/>
    <n v="1440"/>
    <n v="1920"/>
    <x v="0"/>
    <x v="1"/>
  </r>
  <r>
    <n v="2891001357"/>
    <x v="10"/>
    <n v="0"/>
    <n v="0"/>
    <n v="0"/>
    <n v="0"/>
    <n v="0"/>
    <n v="0"/>
    <n v="0"/>
    <n v="0"/>
    <n v="0"/>
    <n v="0"/>
    <n v="0"/>
    <n v="1440"/>
    <n v="1920"/>
    <x v="0"/>
    <x v="0"/>
  </r>
  <r>
    <n v="2891001357"/>
    <x v="11"/>
    <n v="2063"/>
    <n v="1.6100000143051101"/>
    <n v="0"/>
    <n v="1.6093440055847199"/>
    <n v="0"/>
    <n v="0"/>
    <n v="1.6100000143051101"/>
    <n v="0"/>
    <n v="0"/>
    <n v="0"/>
    <n v="630"/>
    <n v="99"/>
    <n v="1144"/>
    <x v="0"/>
    <x v="0"/>
  </r>
  <r>
    <n v="3372868164"/>
    <x v="7"/>
    <n v="5785"/>
    <n v="3.9500000476837198"/>
    <n v="3.9500000476837198"/>
    <n v="0"/>
    <n v="0"/>
    <n v="0"/>
    <n v="3.9100000858306898"/>
    <n v="3.9999999105930301E-2"/>
    <n v="0"/>
    <n v="0"/>
    <n v="311"/>
    <n v="1129"/>
    <n v="1852"/>
    <x v="0"/>
    <x v="0"/>
  </r>
  <r>
    <n v="3372868164"/>
    <x v="8"/>
    <n v="7625"/>
    <n v="5.2300000190734899"/>
    <n v="5.2300000190734899"/>
    <n v="0"/>
    <n v="1.6799999475479099"/>
    <n v="3.9999999105930301E-2"/>
    <n v="3.5"/>
    <n v="9.9999997764825804E-3"/>
    <n v="24"/>
    <n v="1"/>
    <n v="341"/>
    <n v="1074"/>
    <n v="2069"/>
    <x v="0"/>
    <x v="1"/>
  </r>
  <r>
    <n v="3372868164"/>
    <x v="9"/>
    <n v="4706"/>
    <n v="3.21000003814697"/>
    <n v="3.21000003814697"/>
    <n v="0"/>
    <n v="0"/>
    <n v="0"/>
    <n v="3.21000003814697"/>
    <n v="0"/>
    <n v="0"/>
    <n v="0"/>
    <n v="299"/>
    <n v="1141"/>
    <n v="1816"/>
    <x v="0"/>
    <x v="1"/>
  </r>
  <r>
    <n v="3372868164"/>
    <x v="10"/>
    <n v="5861"/>
    <n v="4.0199999809265101"/>
    <n v="4.0199999809265101"/>
    <n v="0"/>
    <n v="1.29999995231628"/>
    <n v="0.21999999880790699"/>
    <n v="2.4900000095367401"/>
    <n v="9.9999997764825804E-3"/>
    <n v="20"/>
    <n v="7"/>
    <n v="233"/>
    <n v="1180"/>
    <n v="1878"/>
    <x v="0"/>
    <x v="0"/>
  </r>
  <r>
    <n v="3372868164"/>
    <x v="11"/>
    <n v="4460"/>
    <n v="3.03999996185303"/>
    <n v="3.03999996185303"/>
    <n v="0"/>
    <n v="0"/>
    <n v="0"/>
    <n v="3.0199999809265101"/>
    <n v="2.9999999329447701E-2"/>
    <n v="0"/>
    <n v="0"/>
    <n v="248"/>
    <n v="1192"/>
    <n v="1787"/>
    <x v="0"/>
    <x v="0"/>
  </r>
  <r>
    <n v="3372868164"/>
    <x v="12"/>
    <n v="6406"/>
    <n v="4.3899998664856001"/>
    <n v="4.3899998664856001"/>
    <n v="0"/>
    <n v="0.77999997138977095"/>
    <n v="9.00000035762787E-2"/>
    <n v="3.5199999809265101"/>
    <n v="9.9999997764825804E-3"/>
    <n v="17"/>
    <n v="4"/>
    <n v="325"/>
    <n v="1094"/>
    <n v="2010"/>
    <x v="0"/>
    <x v="0"/>
  </r>
  <r>
    <n v="3372868164"/>
    <x v="13"/>
    <n v="7392"/>
    <n v="5.0999999046325701"/>
    <n v="5.0999999046325701"/>
    <n v="0"/>
    <n v="0.87000000476837203"/>
    <n v="0.15999999642372101"/>
    <n v="4.0500001907348597"/>
    <n v="1.9999999552965199E-2"/>
    <n v="14"/>
    <n v="9"/>
    <n v="332"/>
    <n v="1085"/>
    <n v="2038"/>
    <x v="0"/>
    <x v="0"/>
  </r>
  <r>
    <n v="3372868164"/>
    <x v="14"/>
    <n v="5551"/>
    <n v="3.78999996185303"/>
    <n v="3.78999996185303"/>
    <n v="0"/>
    <n v="0"/>
    <n v="0"/>
    <n v="3.7699999809265101"/>
    <n v="9.9999997764825804E-3"/>
    <n v="0"/>
    <n v="0"/>
    <n v="282"/>
    <n v="1158"/>
    <n v="1815"/>
    <x v="0"/>
    <x v="0"/>
  </r>
  <r>
    <n v="3372868164"/>
    <x v="15"/>
    <n v="8827"/>
    <n v="6.25"/>
    <n v="6.25"/>
    <n v="0"/>
    <n v="1.7699999809265099"/>
    <n v="0.479999989271164"/>
    <n v="4"/>
    <n v="9.9999997764825804E-3"/>
    <n v="21"/>
    <n v="10"/>
    <n v="346"/>
    <n v="1063"/>
    <n v="2062"/>
    <x v="0"/>
    <x v="1"/>
  </r>
  <r>
    <n v="3372868164"/>
    <x v="16"/>
    <n v="4662"/>
    <n v="3.1800000667571999"/>
    <n v="3.1800000667571999"/>
    <n v="0"/>
    <n v="1.03999996185303"/>
    <n v="0.15000000596046401"/>
    <n v="1.9900000095367401"/>
    <n v="0"/>
    <n v="22"/>
    <n v="4"/>
    <n v="152"/>
    <n v="735"/>
    <n v="1276"/>
    <x v="0"/>
    <x v="1"/>
  </r>
  <r>
    <n v="3977333714"/>
    <x v="7"/>
    <n v="4499"/>
    <n v="3.0099999904632599"/>
    <n v="3.0099999904632599"/>
    <n v="0"/>
    <n v="0"/>
    <n v="0"/>
    <n v="3.0099999904632599"/>
    <n v="0"/>
    <n v="0"/>
    <n v="0"/>
    <n v="168"/>
    <n v="842"/>
    <n v="1288"/>
    <x v="0"/>
    <x v="0"/>
  </r>
  <r>
    <n v="3977333714"/>
    <x v="8"/>
    <n v="7618"/>
    <n v="5.0999999046325701"/>
    <n v="5.0999999046325701"/>
    <n v="0"/>
    <n v="0"/>
    <n v="0.18000000715255701"/>
    <n v="4.9099998474121103"/>
    <n v="0"/>
    <n v="0"/>
    <n v="6"/>
    <n v="302"/>
    <n v="842"/>
    <n v="1490"/>
    <x v="0"/>
    <x v="1"/>
  </r>
  <r>
    <n v="3977333714"/>
    <x v="9"/>
    <n v="11508"/>
    <n v="7.6999998092651403"/>
    <n v="7.6999998092651403"/>
    <n v="0"/>
    <n v="2.1700000762939502"/>
    <n v="0.83999997377395597"/>
    <n v="4.6900000572204599"/>
    <n v="0"/>
    <n v="29"/>
    <n v="22"/>
    <n v="282"/>
    <n v="748"/>
    <n v="1630"/>
    <x v="0"/>
    <x v="1"/>
  </r>
  <r>
    <n v="3977333714"/>
    <x v="10"/>
    <n v="11943"/>
    <n v="7.9899997711181596"/>
    <n v="7.9899997711181596"/>
    <n v="0"/>
    <n v="1.0299999713897701"/>
    <n v="2.0099999904632599"/>
    <n v="4.9499998092651403"/>
    <n v="0"/>
    <n v="16"/>
    <n v="43"/>
    <n v="297"/>
    <n v="710"/>
    <n v="1648"/>
    <x v="0"/>
    <x v="0"/>
  </r>
  <r>
    <n v="3977333714"/>
    <x v="11"/>
    <n v="12303"/>
    <n v="8.2299995422363299"/>
    <n v="8.2299995422363299"/>
    <n v="0"/>
    <n v="1.71000003814697"/>
    <n v="1.3500000238418599"/>
    <n v="5.1700000762939498"/>
    <n v="0"/>
    <n v="26"/>
    <n v="32"/>
    <n v="291"/>
    <n v="605"/>
    <n v="1649"/>
    <x v="0"/>
    <x v="0"/>
  </r>
  <r>
    <n v="3977333714"/>
    <x v="12"/>
    <n v="15425"/>
    <n v="10.319999694824199"/>
    <n v="10.319999694824199"/>
    <n v="0"/>
    <n v="1.62000000476837"/>
    <n v="1.8200000524520901"/>
    <n v="6.8699998855590803"/>
    <n v="0"/>
    <n v="24"/>
    <n v="45"/>
    <n v="331"/>
    <n v="614"/>
    <n v="1783"/>
    <x v="0"/>
    <x v="0"/>
  </r>
  <r>
    <n v="3977333714"/>
    <x v="13"/>
    <n v="8422"/>
    <n v="5.6300001144409197"/>
    <n v="5.6300001144409197"/>
    <n v="0"/>
    <n v="0"/>
    <n v="3.5999999046325701"/>
    <n v="2.03999996185303"/>
    <n v="0"/>
    <n v="0"/>
    <n v="81"/>
    <n v="139"/>
    <n v="815"/>
    <n v="1431"/>
    <x v="0"/>
    <x v="0"/>
  </r>
  <r>
    <n v="3977333714"/>
    <x v="14"/>
    <n v="10226"/>
    <n v="6.8400001525878897"/>
    <n v="6.8400001525878897"/>
    <n v="0"/>
    <n v="0"/>
    <n v="4.4400000572204599"/>
    <n v="2.4000000953674299"/>
    <n v="0"/>
    <n v="0"/>
    <n v="101"/>
    <n v="174"/>
    <n v="685"/>
    <n v="1524"/>
    <x v="0"/>
    <x v="0"/>
  </r>
  <r>
    <n v="3977333714"/>
    <x v="15"/>
    <n v="14583"/>
    <n v="9.7600002288818395"/>
    <n v="9.7600002288818395"/>
    <n v="0"/>
    <n v="2.4800000190734899"/>
    <n v="1.7400000095367401"/>
    <n v="5.5300002098083496"/>
    <n v="0"/>
    <n v="35"/>
    <n v="36"/>
    <n v="254"/>
    <n v="697"/>
    <n v="1697"/>
    <x v="0"/>
    <x v="1"/>
  </r>
  <r>
    <n v="3977333714"/>
    <x v="16"/>
    <n v="3573"/>
    <n v="2.3900001049041699"/>
    <n v="2.3900001049041699"/>
    <n v="0"/>
    <n v="0.93999999761581399"/>
    <n v="0.40999999642372098"/>
    <n v="0.97000002861022905"/>
    <n v="0"/>
    <n v="15"/>
    <n v="8"/>
    <n v="99"/>
    <n v="866"/>
    <n v="1232"/>
    <x v="0"/>
    <x v="1"/>
  </r>
  <r>
    <n v="3977333714"/>
    <x v="17"/>
    <n v="3108"/>
    <n v="2.1400001049041699"/>
    <n v="2.1400001049041699"/>
    <n v="0"/>
    <n v="7.0000000298023196E-2"/>
    <n v="3.9999999105930301E-2"/>
    <n v="1.96000003814697"/>
    <n v="0"/>
    <n v="1"/>
    <n v="1"/>
    <n v="129"/>
    <n v="894"/>
    <n v="1223"/>
    <x v="0"/>
    <x v="0"/>
  </r>
  <r>
    <n v="3977333714"/>
    <x v="18"/>
    <n v="759"/>
    <n v="0.56999999284744296"/>
    <n v="0.56999999284744296"/>
    <n v="0"/>
    <n v="0"/>
    <n v="0"/>
    <n v="0.56999999284744296"/>
    <n v="0"/>
    <n v="0"/>
    <n v="0"/>
    <n v="17"/>
    <n v="187"/>
    <n v="182"/>
    <x v="0"/>
    <x v="0"/>
  </r>
  <r>
    <n v="4020332650"/>
    <x v="19"/>
    <n v="5543"/>
    <n v="3.9700000286102299"/>
    <n v="3.9700000286102299"/>
    <n v="0"/>
    <n v="0"/>
    <n v="0"/>
    <n v="3.96000003814697"/>
    <n v="9.9999997764825804E-3"/>
    <n v="0"/>
    <n v="0"/>
    <n v="254"/>
    <n v="757"/>
    <n v="2990"/>
    <x v="0"/>
    <x v="1"/>
  </r>
  <r>
    <n v="4020332650"/>
    <x v="20"/>
    <n v="3226"/>
    <n v="2.3099999427795401"/>
    <n v="2.3099999427795401"/>
    <n v="0"/>
    <n v="0"/>
    <n v="0"/>
    <n v="2.2799999713897701"/>
    <n v="0"/>
    <n v="0"/>
    <n v="0"/>
    <n v="136"/>
    <n v="771"/>
    <n v="2480"/>
    <x v="0"/>
    <x v="1"/>
  </r>
  <r>
    <n v="4020332650"/>
    <x v="21"/>
    <n v="3023"/>
    <n v="2.1700000762939502"/>
    <n v="2.1700000762939502"/>
    <n v="0"/>
    <n v="0"/>
    <n v="0"/>
    <n v="2.1400001049041699"/>
    <n v="0"/>
    <n v="0"/>
    <n v="0"/>
    <n v="145"/>
    <n v="1005"/>
    <n v="2570"/>
    <x v="0"/>
    <x v="0"/>
  </r>
  <r>
    <n v="4020332650"/>
    <x v="22"/>
    <n v="5906"/>
    <n v="4.2300000190734899"/>
    <n v="4.2300000190734899"/>
    <n v="0"/>
    <n v="0"/>
    <n v="0.15999999642372101"/>
    <n v="4.03999996185303"/>
    <n v="0"/>
    <n v="0"/>
    <n v="10"/>
    <n v="215"/>
    <n v="874"/>
    <n v="3016"/>
    <x v="0"/>
    <x v="0"/>
  </r>
  <r>
    <n v="4020332650"/>
    <x v="23"/>
    <n v="12483"/>
    <n v="8.9899997711181605"/>
    <n v="8.9899997711181605"/>
    <n v="0"/>
    <n v="1.45000004768372"/>
    <n v="0.56999999284744296"/>
    <n v="6.9000000953674299"/>
    <n v="0"/>
    <n v="25"/>
    <n v="14"/>
    <n v="309"/>
    <n v="599"/>
    <n v="3830"/>
    <x v="0"/>
    <x v="0"/>
  </r>
  <r>
    <n v="4020332650"/>
    <x v="24"/>
    <n v="8940"/>
    <n v="6.4099998474121103"/>
    <n v="6.4099998474121103"/>
    <n v="0"/>
    <n v="0"/>
    <n v="0"/>
    <n v="0.61000001430511497"/>
    <n v="3.9999999105930301E-2"/>
    <n v="0"/>
    <n v="0"/>
    <n v="47"/>
    <n v="986"/>
    <n v="3706"/>
    <x v="0"/>
    <x v="0"/>
  </r>
  <r>
    <n v="4020332650"/>
    <x v="25"/>
    <n v="368"/>
    <n v="0.259999990463257"/>
    <n v="0.259999990463257"/>
    <n v="0"/>
    <n v="0"/>
    <n v="0"/>
    <n v="0"/>
    <n v="0"/>
    <n v="0"/>
    <n v="0"/>
    <n v="0"/>
    <n v="1440"/>
    <n v="2024"/>
    <x v="0"/>
    <x v="0"/>
  </r>
  <r>
    <n v="4020332650"/>
    <x v="26"/>
    <n v="5702"/>
    <n v="4.0900001525878897"/>
    <n v="4.0900001525878897"/>
    <n v="0"/>
    <n v="0"/>
    <n v="0"/>
    <n v="0"/>
    <n v="0"/>
    <n v="0"/>
    <n v="0"/>
    <n v="0"/>
    <n v="1440"/>
    <n v="2980"/>
    <x v="0"/>
    <x v="1"/>
  </r>
  <r>
    <n v="4020332650"/>
    <x v="27"/>
    <n v="10330"/>
    <n v="7.4099998474121103"/>
    <n v="7.4099998474121103"/>
    <n v="0"/>
    <n v="0"/>
    <n v="0"/>
    <n v="0"/>
    <n v="0"/>
    <n v="0"/>
    <n v="0"/>
    <n v="0"/>
    <n v="1440"/>
    <n v="3728"/>
    <x v="0"/>
    <x v="1"/>
  </r>
  <r>
    <n v="4020332650"/>
    <x v="28"/>
    <n v="8778"/>
    <n v="6.28999996185303"/>
    <n v="6.28999996185303"/>
    <n v="0"/>
    <n v="0"/>
    <n v="0"/>
    <n v="0"/>
    <n v="0"/>
    <n v="0"/>
    <n v="0"/>
    <n v="0"/>
    <n v="1440"/>
    <n v="3348"/>
    <x v="0"/>
    <x v="0"/>
  </r>
  <r>
    <n v="4020332650"/>
    <x v="29"/>
    <n v="6662"/>
    <n v="4.7800002098083496"/>
    <n v="4.7800002098083496"/>
    <n v="0"/>
    <n v="0"/>
    <n v="0"/>
    <n v="0"/>
    <n v="0"/>
    <n v="0"/>
    <n v="0"/>
    <n v="0"/>
    <n v="1440"/>
    <n v="3162"/>
    <x v="0"/>
    <x v="0"/>
  </r>
  <r>
    <n v="4020332650"/>
    <x v="30"/>
    <n v="6309"/>
    <n v="4.5199999809265101"/>
    <n v="4.5199999809265101"/>
    <n v="0"/>
    <n v="0"/>
    <n v="0"/>
    <n v="0"/>
    <n v="0"/>
    <n v="0"/>
    <n v="0"/>
    <n v="0"/>
    <n v="1440"/>
    <n v="3140"/>
    <x v="0"/>
    <x v="0"/>
  </r>
  <r>
    <n v="4020332650"/>
    <x v="31"/>
    <n v="1951"/>
    <n v="1.4099999666214"/>
    <n v="1.4099999666214"/>
    <n v="0"/>
    <n v="0"/>
    <n v="0"/>
    <n v="0"/>
    <n v="0"/>
    <n v="0"/>
    <n v="0"/>
    <n v="0"/>
    <n v="1440"/>
    <n v="1980"/>
    <x v="0"/>
    <x v="0"/>
  </r>
  <r>
    <n v="4020332650"/>
    <x v="0"/>
    <n v="5563"/>
    <n v="3.9900000095367401"/>
    <n v="3.9900000095367401"/>
    <n v="0"/>
    <n v="0"/>
    <n v="0"/>
    <n v="0"/>
    <n v="0"/>
    <n v="0"/>
    <n v="0"/>
    <n v="0"/>
    <n v="1440"/>
    <n v="3681"/>
    <x v="0"/>
    <x v="0"/>
  </r>
  <r>
    <n v="4020332650"/>
    <x v="1"/>
    <n v="4370"/>
    <n v="3.1300001144409202"/>
    <n v="3.1300001144409202"/>
    <n v="0"/>
    <n v="0"/>
    <n v="0"/>
    <n v="0"/>
    <n v="0"/>
    <n v="0"/>
    <n v="0"/>
    <n v="0"/>
    <n v="1440"/>
    <n v="3444"/>
    <x v="0"/>
    <x v="1"/>
  </r>
  <r>
    <n v="4020332650"/>
    <x v="2"/>
    <n v="7144"/>
    <n v="5.1199998855590803"/>
    <n v="5.1199998855590803"/>
    <n v="0"/>
    <n v="0"/>
    <n v="0"/>
    <n v="0"/>
    <n v="0"/>
    <n v="0"/>
    <n v="0"/>
    <n v="0"/>
    <n v="1440"/>
    <n v="3510"/>
    <x v="0"/>
    <x v="1"/>
  </r>
  <r>
    <n v="4020332650"/>
    <x v="3"/>
    <n v="2106"/>
    <n v="1.5099999904632599"/>
    <n v="1.5099999904632599"/>
    <n v="0"/>
    <n v="1.9999999552965199E-2"/>
    <n v="5.0000000745058101E-2"/>
    <n v="0.20999999344348899"/>
    <n v="0"/>
    <n v="31"/>
    <n v="45"/>
    <n v="75"/>
    <n v="1289"/>
    <n v="4010"/>
    <x v="0"/>
    <x v="0"/>
  </r>
  <r>
    <n v="4020332650"/>
    <x v="4"/>
    <n v="4152"/>
    <n v="2.9800000190734899"/>
    <n v="2.9800000190734899"/>
    <n v="0"/>
    <n v="0"/>
    <n v="0"/>
    <n v="2.96000003814697"/>
    <n v="0"/>
    <n v="0"/>
    <n v="0"/>
    <n v="187"/>
    <n v="1253"/>
    <n v="2976"/>
    <x v="0"/>
    <x v="0"/>
  </r>
  <r>
    <n v="4020332650"/>
    <x v="5"/>
    <n v="5400"/>
    <n v="3.8699998855590798"/>
    <n v="3.8699998855590798"/>
    <n v="0"/>
    <n v="0"/>
    <n v="0"/>
    <n v="3.8499999046325701"/>
    <n v="0"/>
    <n v="0"/>
    <n v="0"/>
    <n v="258"/>
    <n v="795"/>
    <n v="3418"/>
    <x v="0"/>
    <x v="0"/>
  </r>
  <r>
    <n v="4020332650"/>
    <x v="6"/>
    <n v="7428"/>
    <n v="5.3299999237060502"/>
    <n v="5.3299999237060502"/>
    <n v="0"/>
    <n v="0.87000000476837203"/>
    <n v="0.92000001668930098"/>
    <n v="3.5099999904632599"/>
    <n v="0"/>
    <n v="18"/>
    <n v="33"/>
    <n v="261"/>
    <n v="860"/>
    <n v="3439"/>
    <x v="0"/>
    <x v="0"/>
  </r>
  <r>
    <n v="4020332650"/>
    <x v="7"/>
    <n v="5351"/>
    <n v="3.8399999141693102"/>
    <n v="3.8399999141693102"/>
    <n v="0"/>
    <n v="0.62000000476837203"/>
    <n v="0.18000000715255701"/>
    <n v="3.0099999904632599"/>
    <n v="0"/>
    <n v="15"/>
    <n v="17"/>
    <n v="210"/>
    <n v="748"/>
    <n v="3338"/>
    <x v="0"/>
    <x v="0"/>
  </r>
  <r>
    <n v="4020332650"/>
    <x v="8"/>
    <n v="4299"/>
    <n v="3.0999999046325701"/>
    <n v="3.0999999046325701"/>
    <n v="0"/>
    <n v="9.00000035762787E-2"/>
    <n v="0.20999999344348899"/>
    <n v="2.7400000095367401"/>
    <n v="3.9999999105930301E-2"/>
    <n v="3"/>
    <n v="15"/>
    <n v="162"/>
    <n v="752"/>
    <n v="2892"/>
    <x v="0"/>
    <x v="1"/>
  </r>
  <r>
    <n v="4020332650"/>
    <x v="9"/>
    <n v="6107"/>
    <n v="4.3800001144409197"/>
    <n v="4.3800001144409197"/>
    <n v="0"/>
    <n v="0"/>
    <n v="0"/>
    <n v="4.3600001335143999"/>
    <n v="0"/>
    <n v="0"/>
    <n v="0"/>
    <n v="265"/>
    <n v="776"/>
    <n v="3313"/>
    <x v="0"/>
    <x v="1"/>
  </r>
  <r>
    <n v="4020332650"/>
    <x v="10"/>
    <n v="6429"/>
    <n v="4.5999999046325701"/>
    <n v="4.5999999046325701"/>
    <n v="0"/>
    <n v="0"/>
    <n v="0.94999998807907104"/>
    <n v="3.6500000953674299"/>
    <n v="0"/>
    <n v="0"/>
    <n v="28"/>
    <n v="193"/>
    <n v="741"/>
    <n v="3118"/>
    <x v="0"/>
    <x v="0"/>
  </r>
  <r>
    <n v="4020332650"/>
    <x v="11"/>
    <n v="6880"/>
    <n v="4.9299998283386204"/>
    <n v="4.9299998283386204"/>
    <n v="0"/>
    <n v="0.5"/>
    <n v="0.75999999046325695"/>
    <n v="3.6500000953674299"/>
    <n v="0"/>
    <n v="7"/>
    <n v="19"/>
    <n v="165"/>
    <n v="1249"/>
    <n v="2966"/>
    <x v="0"/>
    <x v="0"/>
  </r>
  <r>
    <n v="4020332650"/>
    <x v="12"/>
    <n v="7476"/>
    <n v="5.3600001335143999"/>
    <n v="5.3600001335143999"/>
    <n v="0"/>
    <n v="0"/>
    <n v="0"/>
    <n v="5.3099999427795401"/>
    <n v="0"/>
    <n v="0"/>
    <n v="0"/>
    <n v="263"/>
    <n v="920"/>
    <n v="3253"/>
    <x v="0"/>
    <x v="0"/>
  </r>
  <r>
    <n v="4020332650"/>
    <x v="13"/>
    <n v="6581"/>
    <n v="4.7199997901916504"/>
    <n v="4.7199997901916504"/>
    <n v="0"/>
    <n v="0"/>
    <n v="0.28999999165535001"/>
    <n v="4.3899998664856001"/>
    <n v="0"/>
    <n v="0"/>
    <n v="8"/>
    <n v="241"/>
    <n v="1191"/>
    <n v="3032"/>
    <x v="0"/>
    <x v="0"/>
  </r>
  <r>
    <n v="4020332650"/>
    <x v="14"/>
    <n v="10480"/>
    <n v="7.5100002288818404"/>
    <n v="7.5100002288818404"/>
    <n v="0"/>
    <n v="0.40999999642372098"/>
    <n v="1.4700000286102299"/>
    <n v="5.0100002288818404"/>
    <n v="3.9999999105930301E-2"/>
    <n v="6"/>
    <n v="37"/>
    <n v="272"/>
    <n v="1125"/>
    <n v="4034"/>
    <x v="0"/>
    <x v="0"/>
  </r>
  <r>
    <n v="4020332650"/>
    <x v="15"/>
    <n v="7734"/>
    <n v="5.5500001907348597"/>
    <n v="5.5500001907348597"/>
    <n v="0"/>
    <n v="1.1599999666214"/>
    <n v="0.490000009536743"/>
    <n v="3.8199999332428001"/>
    <n v="5.9999998658895499E-2"/>
    <n v="20"/>
    <n v="12"/>
    <n v="223"/>
    <n v="1185"/>
    <n v="3264"/>
    <x v="0"/>
    <x v="1"/>
  </r>
  <r>
    <n v="4020332650"/>
    <x v="16"/>
    <n v="5129"/>
    <n v="3.6800000667571999"/>
    <n v="3.6800000667571999"/>
    <n v="0"/>
    <n v="0.18000000715255701"/>
    <n v="0.239999994635582"/>
    <n v="3.21000003814697"/>
    <n v="9.9999997764825804E-3"/>
    <n v="5"/>
    <n v="7"/>
    <n v="176"/>
    <n v="1178"/>
    <n v="2817"/>
    <x v="0"/>
    <x v="1"/>
  </r>
  <r>
    <n v="4020332650"/>
    <x v="17"/>
    <n v="2993"/>
    <n v="2.1500000953674299"/>
    <n v="2.1500000953674299"/>
    <n v="0"/>
    <n v="0"/>
    <n v="0"/>
    <n v="2.0899999141693102"/>
    <n v="0"/>
    <n v="0"/>
    <n v="0"/>
    <n v="114"/>
    <n v="888"/>
    <n v="2507"/>
    <x v="0"/>
    <x v="0"/>
  </r>
  <r>
    <n v="4020332650"/>
    <x v="18"/>
    <n v="8"/>
    <n v="9.9999997764825804E-3"/>
    <n v="9.9999997764825804E-3"/>
    <n v="0"/>
    <n v="0"/>
    <n v="0"/>
    <n v="9.9999997764825804E-3"/>
    <n v="0"/>
    <n v="0"/>
    <n v="0"/>
    <n v="1"/>
    <n v="321"/>
    <n v="446"/>
    <x v="0"/>
    <x v="0"/>
  </r>
  <r>
    <n v="4057192912"/>
    <x v="19"/>
    <n v="0"/>
    <n v="0"/>
    <n v="0"/>
    <n v="0"/>
    <n v="0"/>
    <n v="0"/>
    <n v="0"/>
    <n v="0"/>
    <n v="0"/>
    <n v="0"/>
    <n v="0"/>
    <n v="1440"/>
    <n v="1777"/>
    <x v="0"/>
    <x v="1"/>
  </r>
  <r>
    <n v="4057192912"/>
    <x v="20"/>
    <n v="0"/>
    <n v="0"/>
    <n v="0"/>
    <n v="0"/>
    <n v="0"/>
    <n v="0"/>
    <n v="0"/>
    <n v="0"/>
    <n v="0"/>
    <n v="0"/>
    <n v="0"/>
    <n v="1440"/>
    <n v="1777"/>
    <x v="0"/>
    <x v="1"/>
  </r>
  <r>
    <n v="4057192912"/>
    <x v="21"/>
    <n v="8433"/>
    <n v="6.2300000190734899"/>
    <n v="6.2300000190734899"/>
    <n v="0"/>
    <n v="2.4500000476837198"/>
    <n v="0.33000001311302202"/>
    <n v="3.4400000572204599"/>
    <n v="0"/>
    <n v="30"/>
    <n v="7"/>
    <n v="135"/>
    <n v="1268"/>
    <n v="2453"/>
    <x v="0"/>
    <x v="0"/>
  </r>
  <r>
    <n v="4057192912"/>
    <x v="22"/>
    <n v="0"/>
    <n v="0"/>
    <n v="0"/>
    <n v="0"/>
    <n v="0"/>
    <n v="0"/>
    <n v="0"/>
    <n v="0"/>
    <n v="0"/>
    <n v="0"/>
    <n v="0"/>
    <n v="1440"/>
    <n v="1776"/>
    <x v="0"/>
    <x v="0"/>
  </r>
  <r>
    <n v="4057192912"/>
    <x v="23"/>
    <n v="2139"/>
    <n v="1.5599999427795399"/>
    <n v="1.5599999427795399"/>
    <n v="0"/>
    <n v="0"/>
    <n v="1.29999995231628"/>
    <n v="0.259999990463257"/>
    <n v="0"/>
    <n v="0"/>
    <n v="28"/>
    <n v="15"/>
    <n v="1397"/>
    <n v="1935"/>
    <x v="0"/>
    <x v="0"/>
  </r>
  <r>
    <n v="4057192912"/>
    <x v="24"/>
    <n v="0"/>
    <n v="0"/>
    <n v="0"/>
    <n v="0"/>
    <n v="0"/>
    <n v="0"/>
    <n v="0"/>
    <n v="0"/>
    <n v="0"/>
    <n v="0"/>
    <n v="0"/>
    <n v="1440"/>
    <n v="1776"/>
    <x v="0"/>
    <x v="0"/>
  </r>
  <r>
    <n v="4057192912"/>
    <x v="25"/>
    <n v="949"/>
    <n v="0.68999999761581399"/>
    <n v="0.68999999761581399"/>
    <n v="0"/>
    <n v="0"/>
    <n v="0"/>
    <n v="0.68999999761581399"/>
    <n v="0"/>
    <n v="0"/>
    <n v="0"/>
    <n v="34"/>
    <n v="1406"/>
    <n v="1870"/>
    <x v="0"/>
    <x v="0"/>
  </r>
  <r>
    <n v="4057192912"/>
    <x v="26"/>
    <n v="0"/>
    <n v="0"/>
    <n v="0"/>
    <n v="0"/>
    <n v="0"/>
    <n v="0"/>
    <n v="0"/>
    <n v="0"/>
    <n v="0"/>
    <n v="0"/>
    <n v="0"/>
    <n v="1440"/>
    <n v="1777"/>
    <x v="0"/>
    <x v="1"/>
  </r>
  <r>
    <n v="4057192912"/>
    <x v="27"/>
    <n v="44"/>
    <n v="2.9999999329447701E-2"/>
    <n v="2.9999999329447701E-2"/>
    <n v="0"/>
    <n v="0"/>
    <n v="0"/>
    <n v="2.9999999329447701E-2"/>
    <n v="0"/>
    <n v="0"/>
    <n v="0"/>
    <n v="2"/>
    <n v="1438"/>
    <n v="1782"/>
    <x v="0"/>
    <x v="1"/>
  </r>
  <r>
    <n v="4057192912"/>
    <x v="28"/>
    <n v="2660"/>
    <n v="1.9400000572204601"/>
    <n v="1.9400000572204601"/>
    <n v="0"/>
    <n v="0"/>
    <n v="0"/>
    <n v="1.9400000572204601"/>
    <n v="0"/>
    <n v="0"/>
    <n v="0"/>
    <n v="46"/>
    <n v="1394"/>
    <n v="1978"/>
    <x v="0"/>
    <x v="0"/>
  </r>
  <r>
    <n v="4057192912"/>
    <x v="29"/>
    <n v="5561"/>
    <n v="4.1900000572204599"/>
    <n v="4.1900000572204599"/>
    <n v="0"/>
    <n v="0"/>
    <n v="0"/>
    <n v="4.0700001716613796"/>
    <n v="0"/>
    <n v="0"/>
    <n v="0"/>
    <n v="169"/>
    <n v="1271"/>
    <n v="2296"/>
    <x v="0"/>
    <x v="0"/>
  </r>
  <r>
    <n v="4057192912"/>
    <x v="30"/>
    <n v="7239"/>
    <n v="5.3400001525878897"/>
    <n v="5.3400001525878897"/>
    <n v="0"/>
    <n v="0.55000001192092896"/>
    <n v="0.36000001430511502"/>
    <n v="4.3800001144409197"/>
    <n v="0"/>
    <n v="7"/>
    <n v="7"/>
    <n v="190"/>
    <n v="1236"/>
    <n v="2484"/>
    <x v="0"/>
    <x v="0"/>
  </r>
  <r>
    <n v="4057192912"/>
    <x v="31"/>
    <n v="7"/>
    <n v="9.9999997764825804E-3"/>
    <n v="9.9999997764825804E-3"/>
    <n v="0"/>
    <n v="0"/>
    <n v="0"/>
    <n v="9.9999997764825804E-3"/>
    <n v="0"/>
    <n v="0"/>
    <n v="0"/>
    <n v="1"/>
    <n v="1439"/>
    <n v="1787"/>
    <x v="0"/>
    <x v="0"/>
  </r>
  <r>
    <n v="4057192912"/>
    <x v="0"/>
    <n v="0"/>
    <n v="0"/>
    <n v="0"/>
    <n v="0"/>
    <n v="0"/>
    <n v="0"/>
    <n v="0"/>
    <n v="0"/>
    <n v="0"/>
    <n v="0"/>
    <n v="0"/>
    <n v="1440"/>
    <n v="1776"/>
    <x v="0"/>
    <x v="0"/>
  </r>
  <r>
    <n v="4057192912"/>
    <x v="1"/>
    <n v="0"/>
    <n v="0"/>
    <n v="0"/>
    <n v="0"/>
    <n v="0"/>
    <n v="0"/>
    <n v="0"/>
    <n v="0"/>
    <n v="0"/>
    <n v="0"/>
    <n v="0"/>
    <n v="1440"/>
    <n v="1776"/>
    <x v="0"/>
    <x v="1"/>
  </r>
  <r>
    <n v="4057192912"/>
    <x v="2"/>
    <n v="2275"/>
    <n v="1.6799999475479099"/>
    <n v="1.6799999475479099"/>
    <n v="0"/>
    <n v="0"/>
    <n v="0"/>
    <n v="1.6599999666214"/>
    <n v="0"/>
    <n v="0"/>
    <n v="0"/>
    <n v="86"/>
    <n v="1354"/>
    <n v="2005"/>
    <x v="0"/>
    <x v="1"/>
  </r>
  <r>
    <n v="4057192912"/>
    <x v="3"/>
    <n v="8"/>
    <n v="9.9999997764825804E-3"/>
    <n v="9.9999997764825804E-3"/>
    <n v="0"/>
    <n v="0"/>
    <n v="0"/>
    <n v="9.9999997764825804E-3"/>
    <n v="0"/>
    <n v="0"/>
    <n v="0"/>
    <n v="1"/>
    <n v="1439"/>
    <n v="1778"/>
    <x v="0"/>
    <x v="0"/>
  </r>
  <r>
    <n v="4057192912"/>
    <x v="4"/>
    <n v="5137"/>
    <n v="3.7599999904632599"/>
    <n v="3.7599999904632599"/>
    <n v="0"/>
    <n v="0"/>
    <n v="0"/>
    <n v="3.7599999904632599"/>
    <n v="0"/>
    <n v="0"/>
    <n v="0"/>
    <n v="160"/>
    <n v="1280"/>
    <n v="2293"/>
    <x v="0"/>
    <x v="0"/>
  </r>
  <r>
    <n v="4057192912"/>
    <x v="5"/>
    <n v="5419"/>
    <n v="4"/>
    <n v="4.5700001716613796"/>
    <n v="5.5842999368906E-2"/>
    <n v="0"/>
    <n v="0"/>
    <n v="3.9100000858306898"/>
    <n v="5.9999998658895499E-2"/>
    <n v="0"/>
    <n v="0"/>
    <n v="145"/>
    <n v="1295"/>
    <n v="2259"/>
    <x v="0"/>
    <x v="0"/>
  </r>
  <r>
    <n v="4057192912"/>
    <x v="6"/>
    <n v="0"/>
    <n v="0"/>
    <n v="0"/>
    <n v="0"/>
    <n v="0"/>
    <n v="0"/>
    <n v="0"/>
    <n v="0"/>
    <n v="0"/>
    <n v="0"/>
    <n v="0"/>
    <n v="1440"/>
    <n v="1776"/>
    <x v="0"/>
    <x v="0"/>
  </r>
  <r>
    <n v="4057192912"/>
    <x v="7"/>
    <n v="0"/>
    <n v="0"/>
    <n v="0"/>
    <n v="0"/>
    <n v="0"/>
    <n v="0"/>
    <n v="0"/>
    <n v="0"/>
    <n v="0"/>
    <n v="0"/>
    <n v="0"/>
    <n v="1440"/>
    <n v="1776"/>
    <x v="0"/>
    <x v="0"/>
  </r>
  <r>
    <n v="4057192912"/>
    <x v="8"/>
    <n v="0"/>
    <n v="0"/>
    <n v="0"/>
    <n v="0"/>
    <n v="0"/>
    <n v="0"/>
    <n v="0"/>
    <n v="0"/>
    <n v="0"/>
    <n v="0"/>
    <n v="0"/>
    <n v="1440"/>
    <n v="1776"/>
    <x v="0"/>
    <x v="1"/>
  </r>
  <r>
    <n v="4057192912"/>
    <x v="9"/>
    <n v="0"/>
    <n v="0"/>
    <n v="0"/>
    <n v="0"/>
    <n v="0"/>
    <n v="0"/>
    <n v="0"/>
    <n v="0"/>
    <n v="0"/>
    <n v="0"/>
    <n v="0"/>
    <n v="1440"/>
    <n v="1776"/>
    <x v="0"/>
    <x v="1"/>
  </r>
  <r>
    <n v="4057192912"/>
    <x v="10"/>
    <n v="0"/>
    <n v="0"/>
    <n v="0"/>
    <n v="0"/>
    <n v="0"/>
    <n v="0"/>
    <n v="0"/>
    <n v="0"/>
    <n v="0"/>
    <n v="0"/>
    <n v="0"/>
    <n v="1440"/>
    <n v="1776"/>
    <x v="0"/>
    <x v="0"/>
  </r>
  <r>
    <n v="4057192912"/>
    <x v="11"/>
    <n v="0"/>
    <n v="0"/>
    <n v="0"/>
    <n v="0"/>
    <n v="0"/>
    <n v="0"/>
    <n v="0"/>
    <n v="0"/>
    <n v="0"/>
    <n v="0"/>
    <n v="0"/>
    <n v="1440"/>
    <n v="1776"/>
    <x v="0"/>
    <x v="0"/>
  </r>
  <r>
    <n v="4057192912"/>
    <x v="12"/>
    <n v="18"/>
    <n v="9.9999997764825804E-3"/>
    <n v="9.9999997764825804E-3"/>
    <n v="0"/>
    <n v="0"/>
    <n v="0"/>
    <n v="9.9999997764825804E-3"/>
    <n v="0"/>
    <n v="0"/>
    <n v="0"/>
    <n v="2"/>
    <n v="1438"/>
    <n v="1780"/>
    <x v="0"/>
    <x v="0"/>
  </r>
  <r>
    <n v="4057192912"/>
    <x v="13"/>
    <n v="4"/>
    <n v="0"/>
    <n v="0"/>
    <n v="0"/>
    <n v="0"/>
    <n v="0"/>
    <n v="0"/>
    <n v="0"/>
    <n v="0"/>
    <n v="0"/>
    <n v="1"/>
    <n v="1439"/>
    <n v="1778"/>
    <x v="0"/>
    <x v="0"/>
  </r>
  <r>
    <n v="4057192912"/>
    <x v="14"/>
    <n v="8426"/>
    <n v="6.1599998474121103"/>
    <n v="6.1599998474121103"/>
    <n v="0"/>
    <n v="0.129999995231628"/>
    <n v="5.4899997711181596"/>
    <n v="0.54000002145767201"/>
    <n v="0"/>
    <n v="2"/>
    <n v="120"/>
    <n v="25"/>
    <n v="1293"/>
    <n v="2360"/>
    <x v="0"/>
    <x v="0"/>
  </r>
  <r>
    <n v="4057192912"/>
    <x v="15"/>
    <n v="1650"/>
    <n v="1.21000003814697"/>
    <n v="1.21000003814697"/>
    <n v="0"/>
    <n v="0"/>
    <n v="0"/>
    <n v="1.21000003814697"/>
    <n v="0"/>
    <n v="0"/>
    <n v="0"/>
    <n v="60"/>
    <n v="1380"/>
    <n v="1952"/>
    <x v="0"/>
    <x v="1"/>
  </r>
  <r>
    <n v="4057192912"/>
    <x v="16"/>
    <n v="3434"/>
    <n v="2.5099999904632599"/>
    <n v="2.5099999904632599"/>
    <n v="0"/>
    <n v="7.0000000298023196E-2"/>
    <n v="0.30000001192092901"/>
    <n v="2.1400001049041699"/>
    <n v="0"/>
    <n v="1"/>
    <n v="7"/>
    <n v="108"/>
    <n v="1324"/>
    <n v="2101"/>
    <x v="0"/>
    <x v="1"/>
  </r>
  <r>
    <n v="4057192912"/>
    <x v="17"/>
    <n v="6801"/>
    <n v="4.9800000190734899"/>
    <n v="4.9800000190734899"/>
    <n v="0"/>
    <n v="0"/>
    <n v="0"/>
    <n v="4.9699997901916504"/>
    <n v="0"/>
    <n v="0"/>
    <n v="0"/>
    <n v="193"/>
    <n v="1247"/>
    <n v="2393"/>
    <x v="0"/>
    <x v="0"/>
  </r>
  <r>
    <n v="4057192912"/>
    <x v="18"/>
    <n v="187"/>
    <n v="0.140000000596046"/>
    <n v="0.140000000596046"/>
    <n v="0"/>
    <n v="0"/>
    <n v="0"/>
    <n v="0.140000000596046"/>
    <n v="0"/>
    <n v="0"/>
    <n v="0"/>
    <n v="11"/>
    <n v="400"/>
    <n v="538"/>
    <x v="0"/>
    <x v="0"/>
  </r>
  <r>
    <n v="4319703577"/>
    <x v="4"/>
    <n v="5643"/>
    <n v="3.78999996185303"/>
    <n v="3.78999996185303"/>
    <n v="0"/>
    <n v="0.230000004172325"/>
    <n v="0.33000001311302202"/>
    <n v="3.2300000190734899"/>
    <n v="0"/>
    <n v="3"/>
    <n v="8"/>
    <n v="199"/>
    <n v="683"/>
    <n v="1958"/>
    <x v="0"/>
    <x v="0"/>
  </r>
  <r>
    <n v="4319703577"/>
    <x v="5"/>
    <n v="9043"/>
    <n v="6.0700001716613796"/>
    <n v="6.0700001716613796"/>
    <n v="0"/>
    <n v="0.25"/>
    <n v="0.43000000715255698"/>
    <n v="5.3699998855590803"/>
    <n v="0"/>
    <n v="4"/>
    <n v="12"/>
    <n v="244"/>
    <n v="702"/>
    <n v="2141"/>
    <x v="0"/>
    <x v="0"/>
  </r>
  <r>
    <n v="4319703577"/>
    <x v="6"/>
    <n v="8144"/>
    <n v="5.46000003814697"/>
    <n v="5.46000003814697"/>
    <n v="0"/>
    <n v="0.25"/>
    <n v="0.61000001430511497"/>
    <n v="4.6100001335143999"/>
    <n v="0"/>
    <n v="4"/>
    <n v="17"/>
    <n v="247"/>
    <n v="1125"/>
    <n v="2129"/>
    <x v="0"/>
    <x v="0"/>
  </r>
  <r>
    <n v="4319703577"/>
    <x v="7"/>
    <n v="9343"/>
    <n v="6.2699999809265101"/>
    <n v="6.2699999809265101"/>
    <n v="0"/>
    <n v="0.95999997854232799"/>
    <n v="0.85000002384185802"/>
    <n v="4.46000003814697"/>
    <n v="0"/>
    <n v="14"/>
    <n v="20"/>
    <n v="268"/>
    <n v="654"/>
    <n v="2216"/>
    <x v="0"/>
    <x v="0"/>
  </r>
  <r>
    <n v="4319703577"/>
    <x v="8"/>
    <n v="8405"/>
    <n v="5.6599998474121103"/>
    <n v="5.6599998474121103"/>
    <n v="0"/>
    <n v="1.12999999523163"/>
    <n v="0.18999999761581399"/>
    <n v="4.3400001525878897"/>
    <n v="0"/>
    <n v="15"/>
    <n v="4"/>
    <n v="257"/>
    <n v="621"/>
    <n v="2154"/>
    <x v="0"/>
    <x v="1"/>
  </r>
  <r>
    <n v="4319703577"/>
    <x v="9"/>
    <n v="8223"/>
    <n v="5.5199999809265101"/>
    <n v="5.5199999809265101"/>
    <n v="0"/>
    <n v="0.80000001192092896"/>
    <n v="1.5099999904632599"/>
    <n v="3.21000003814697"/>
    <n v="0"/>
    <n v="12"/>
    <n v="37"/>
    <n v="257"/>
    <n v="551"/>
    <n v="2178"/>
    <x v="0"/>
    <x v="1"/>
  </r>
  <r>
    <n v="4319703577"/>
    <x v="10"/>
    <n v="10067"/>
    <n v="6.7600002288818404"/>
    <n v="6.7600002288818404"/>
    <n v="0"/>
    <n v="0.36000001430511502"/>
    <n v="1.41999995708466"/>
    <n v="4.9699997901916504"/>
    <n v="0"/>
    <n v="5"/>
    <n v="39"/>
    <n v="313"/>
    <n v="578"/>
    <n v="2308"/>
    <x v="0"/>
    <x v="0"/>
  </r>
  <r>
    <n v="4319703577"/>
    <x v="11"/>
    <n v="8359"/>
    <n v="5.6300001144409197"/>
    <n v="5.6300001144409197"/>
    <n v="0"/>
    <n v="0.230000004172325"/>
    <n v="0.52999997138977095"/>
    <n v="4.8699998855590803"/>
    <n v="0"/>
    <n v="3"/>
    <n v="14"/>
    <n v="311"/>
    <n v="638"/>
    <n v="2201"/>
    <x v="0"/>
    <x v="0"/>
  </r>
  <r>
    <n v="4319703577"/>
    <x v="12"/>
    <n v="10946"/>
    <n v="7.3499999046325701"/>
    <n v="7.3499999046325701"/>
    <n v="0"/>
    <n v="0.54000002145767201"/>
    <n v="2.0899999141693102"/>
    <n v="4.7199997901916504"/>
    <n v="0"/>
    <n v="8"/>
    <n v="51"/>
    <n v="308"/>
    <n v="569"/>
    <n v="2341"/>
    <x v="0"/>
    <x v="0"/>
  </r>
  <r>
    <n v="4319703577"/>
    <x v="13"/>
    <n v="9130"/>
    <n v="6.1500000953674299"/>
    <n v="6.1500000953674299"/>
    <n v="0"/>
    <n v="0.5"/>
    <n v="0.37999999523162797"/>
    <n v="5.2699999809265101"/>
    <n v="0"/>
    <n v="7"/>
    <n v="11"/>
    <n v="304"/>
    <n v="668"/>
    <n v="2236"/>
    <x v="0"/>
    <x v="0"/>
  </r>
  <r>
    <n v="4319703577"/>
    <x v="14"/>
    <n v="6544"/>
    <n v="4.4099998474121103"/>
    <n v="4.4099998474121103"/>
    <n v="0"/>
    <n v="0.28999999165535001"/>
    <n v="0.259999990463257"/>
    <n v="3.8599998950958301"/>
    <n v="0"/>
    <n v="4"/>
    <n v="6"/>
    <n v="276"/>
    <n v="1132"/>
    <n v="2069"/>
    <x v="0"/>
    <x v="0"/>
  </r>
  <r>
    <n v="4319703577"/>
    <x v="15"/>
    <n v="0"/>
    <n v="0"/>
    <n v="0"/>
    <n v="0"/>
    <n v="0"/>
    <n v="0"/>
    <n v="0"/>
    <n v="0"/>
    <n v="0"/>
    <n v="0"/>
    <n v="0"/>
    <n v="1440"/>
    <n v="0"/>
    <x v="0"/>
    <x v="1"/>
  </r>
  <r>
    <n v="4388161847"/>
    <x v="4"/>
    <n v="0"/>
    <n v="0"/>
    <n v="0"/>
    <n v="0"/>
    <n v="0"/>
    <n v="0"/>
    <n v="0"/>
    <n v="0"/>
    <n v="0"/>
    <n v="0"/>
    <n v="0"/>
    <n v="1440"/>
    <n v="1878"/>
    <x v="0"/>
    <x v="0"/>
  </r>
  <r>
    <n v="4388161847"/>
    <x v="5"/>
    <n v="0"/>
    <n v="0"/>
    <n v="0"/>
    <n v="0"/>
    <n v="0"/>
    <n v="0"/>
    <n v="0"/>
    <n v="0"/>
    <n v="0"/>
    <n v="0"/>
    <n v="0"/>
    <n v="1440"/>
    <n v="1878"/>
    <x v="0"/>
    <x v="0"/>
  </r>
  <r>
    <n v="4388161847"/>
    <x v="6"/>
    <n v="0"/>
    <n v="0"/>
    <n v="0"/>
    <n v="0"/>
    <n v="0"/>
    <n v="0"/>
    <n v="0"/>
    <n v="0"/>
    <n v="0"/>
    <n v="0"/>
    <n v="0"/>
    <n v="1440"/>
    <n v="1878"/>
    <x v="0"/>
    <x v="0"/>
  </r>
  <r>
    <n v="4388161847"/>
    <x v="7"/>
    <n v="0"/>
    <n v="0"/>
    <n v="0"/>
    <n v="0"/>
    <n v="0"/>
    <n v="0"/>
    <n v="0"/>
    <n v="0"/>
    <n v="0"/>
    <n v="0"/>
    <n v="0"/>
    <n v="1440"/>
    <n v="1878"/>
    <x v="0"/>
    <x v="0"/>
  </r>
  <r>
    <n v="4388161847"/>
    <x v="8"/>
    <n v="0"/>
    <n v="0"/>
    <n v="0"/>
    <n v="0"/>
    <n v="0"/>
    <n v="0"/>
    <n v="0"/>
    <n v="0"/>
    <n v="0"/>
    <n v="0"/>
    <n v="0"/>
    <n v="1440"/>
    <n v="1878"/>
    <x v="0"/>
    <x v="1"/>
  </r>
  <r>
    <n v="4388161847"/>
    <x v="9"/>
    <n v="0"/>
    <n v="0"/>
    <n v="0"/>
    <n v="0"/>
    <n v="0"/>
    <n v="0"/>
    <n v="0"/>
    <n v="0"/>
    <n v="0"/>
    <n v="0"/>
    <n v="0"/>
    <n v="1440"/>
    <n v="1878"/>
    <x v="0"/>
    <x v="1"/>
  </r>
  <r>
    <n v="4388161847"/>
    <x v="10"/>
    <n v="0"/>
    <n v="0"/>
    <n v="0"/>
    <n v="0"/>
    <n v="0"/>
    <n v="0"/>
    <n v="0"/>
    <n v="0"/>
    <n v="0"/>
    <n v="0"/>
    <n v="0"/>
    <n v="1440"/>
    <n v="1878"/>
    <x v="0"/>
    <x v="0"/>
  </r>
  <r>
    <n v="4388161847"/>
    <x v="11"/>
    <n v="0"/>
    <n v="0"/>
    <n v="0"/>
    <n v="0"/>
    <n v="0"/>
    <n v="0"/>
    <n v="0"/>
    <n v="0"/>
    <n v="0"/>
    <n v="0"/>
    <n v="0"/>
    <n v="994"/>
    <n v="1296"/>
    <x v="0"/>
    <x v="0"/>
  </r>
  <r>
    <n v="4445114986"/>
    <x v="4"/>
    <n v="2303"/>
    <n v="1.54999995231628"/>
    <n v="1.54999995231628"/>
    <n v="0"/>
    <n v="0"/>
    <n v="0"/>
    <n v="1.54999995231628"/>
    <n v="0"/>
    <n v="0"/>
    <n v="0"/>
    <n v="155"/>
    <n v="807"/>
    <n v="2010"/>
    <x v="0"/>
    <x v="0"/>
  </r>
  <r>
    <n v="4445114986"/>
    <x v="5"/>
    <n v="2600"/>
    <n v="1.7400000095367401"/>
    <n v="1.7400000095367401"/>
    <n v="0"/>
    <n v="0"/>
    <n v="0"/>
    <n v="1.7400000095367401"/>
    <n v="0"/>
    <n v="0"/>
    <n v="0"/>
    <n v="163"/>
    <n v="1277"/>
    <n v="2032"/>
    <x v="0"/>
    <x v="0"/>
  </r>
  <r>
    <n v="4445114986"/>
    <x v="6"/>
    <n v="4804"/>
    <n v="3.2200000286102299"/>
    <n v="3.2200000286102299"/>
    <n v="0"/>
    <n v="0"/>
    <n v="0"/>
    <n v="3.2200000286102299"/>
    <n v="0"/>
    <n v="0"/>
    <n v="0"/>
    <n v="238"/>
    <n v="786"/>
    <n v="2227"/>
    <x v="0"/>
    <x v="0"/>
  </r>
  <r>
    <n v="4445114986"/>
    <x v="7"/>
    <n v="3271"/>
    <n v="2.1900000572204599"/>
    <n v="2.1900000572204599"/>
    <n v="0"/>
    <n v="0"/>
    <n v="0"/>
    <n v="2.1900000572204599"/>
    <n v="0"/>
    <n v="0"/>
    <n v="0"/>
    <n v="205"/>
    <n v="898"/>
    <n v="2133"/>
    <x v="0"/>
    <x v="0"/>
  </r>
  <r>
    <n v="4445114986"/>
    <x v="8"/>
    <n v="5406"/>
    <n v="3.6300001144409202"/>
    <n v="3.6300001144409202"/>
    <n v="0"/>
    <n v="0"/>
    <n v="0"/>
    <n v="3.6099998950958301"/>
    <n v="0"/>
    <n v="0"/>
    <n v="0"/>
    <n v="273"/>
    <n v="672"/>
    <n v="2317"/>
    <x v="0"/>
    <x v="1"/>
  </r>
  <r>
    <n v="4445114986"/>
    <x v="9"/>
    <n v="3146"/>
    <n v="2.1099998950958301"/>
    <n v="2.1099998950958301"/>
    <n v="0"/>
    <n v="0"/>
    <n v="0"/>
    <n v="2.1099998950958301"/>
    <n v="0"/>
    <n v="0"/>
    <n v="0"/>
    <n v="171"/>
    <n v="1269"/>
    <n v="2058"/>
    <x v="0"/>
    <x v="1"/>
  </r>
  <r>
    <n v="4445114986"/>
    <x v="10"/>
    <n v="2422"/>
    <n v="1.62999999523163"/>
    <n v="1.62999999523163"/>
    <n v="0"/>
    <n v="0"/>
    <n v="0"/>
    <n v="1.62999999523163"/>
    <n v="0"/>
    <n v="0"/>
    <n v="0"/>
    <n v="110"/>
    <n v="1330"/>
    <n v="1935"/>
    <x v="0"/>
    <x v="0"/>
  </r>
  <r>
    <n v="4445114986"/>
    <x v="11"/>
    <n v="4239"/>
    <n v="2.8399999141693102"/>
    <n v="2.8399999141693102"/>
    <n v="0"/>
    <n v="5.9999998658895499E-2"/>
    <n v="0.239999994635582"/>
    <n v="2.5299999713897701"/>
    <n v="0"/>
    <n v="1"/>
    <n v="6"/>
    <n v="235"/>
    <n v="702"/>
    <n v="2217"/>
    <x v="0"/>
    <x v="0"/>
  </r>
  <r>
    <n v="4445114986"/>
    <x v="12"/>
    <n v="6911"/>
    <n v="4.7800002098083496"/>
    <n v="4.7800002098083496"/>
    <n v="0"/>
    <n v="2.3199999332428001"/>
    <n v="0.10000000149011599"/>
    <n v="2.3599998950958301"/>
    <n v="0"/>
    <n v="28"/>
    <n v="2"/>
    <n v="215"/>
    <n v="745"/>
    <n v="2374"/>
    <x v="0"/>
    <x v="0"/>
  </r>
  <r>
    <n v="4445114986"/>
    <x v="13"/>
    <n v="6667"/>
    <n v="4.6100001335143999"/>
    <n v="4.6100001335143999"/>
    <n v="0"/>
    <n v="2.0199999809265101"/>
    <n v="5.0000000745058101E-2"/>
    <n v="2.5499999523162802"/>
    <n v="0"/>
    <n v="24"/>
    <n v="1"/>
    <n v="208"/>
    <n v="939"/>
    <n v="2335"/>
    <x v="0"/>
    <x v="0"/>
  </r>
  <r>
    <n v="4445114986"/>
    <x v="14"/>
    <n v="5543"/>
    <n v="3.7200000286102299"/>
    <n v="3.7200000286102299"/>
    <n v="0"/>
    <n v="0"/>
    <n v="0"/>
    <n v="3.7200000286102299"/>
    <n v="0"/>
    <n v="0"/>
    <n v="0"/>
    <n v="266"/>
    <n v="941"/>
    <n v="2303"/>
    <x v="0"/>
    <x v="0"/>
  </r>
  <r>
    <n v="4445114986"/>
    <x v="15"/>
    <n v="4195"/>
    <n v="2.8099999427795401"/>
    <n v="2.8099999427795401"/>
    <n v="0"/>
    <n v="0"/>
    <n v="0"/>
    <n v="2.8099999427795401"/>
    <n v="0"/>
    <n v="0"/>
    <n v="0"/>
    <n v="239"/>
    <n v="758"/>
    <n v="2210"/>
    <x v="0"/>
    <x v="1"/>
  </r>
  <r>
    <n v="4445114986"/>
    <x v="16"/>
    <n v="6625"/>
    <n v="4.4499998092651403"/>
    <n v="4.4499998092651403"/>
    <n v="0"/>
    <n v="0"/>
    <n v="0"/>
    <n v="4.4499998092651403"/>
    <n v="0"/>
    <n v="0"/>
    <n v="0"/>
    <n v="316"/>
    <n v="755"/>
    <n v="2424"/>
    <x v="0"/>
    <x v="1"/>
  </r>
  <r>
    <n v="4445114986"/>
    <x v="17"/>
    <n v="5986"/>
    <n v="4.1300001144409197"/>
    <n v="4.1300001144409197"/>
    <n v="0"/>
    <n v="1.95000004768372"/>
    <n v="0.230000004172325"/>
    <n v="1.95000004768372"/>
    <n v="0"/>
    <n v="23"/>
    <n v="5"/>
    <n v="195"/>
    <n v="789"/>
    <n v="2297"/>
    <x v="0"/>
    <x v="0"/>
  </r>
  <r>
    <n v="4445114986"/>
    <x v="18"/>
    <n v="278"/>
    <n v="0.18999999761581399"/>
    <n v="0.18999999761581399"/>
    <n v="0"/>
    <n v="0"/>
    <n v="0"/>
    <n v="0.18999999761581399"/>
    <n v="0"/>
    <n v="0"/>
    <n v="0"/>
    <n v="20"/>
    <n v="253"/>
    <n v="745"/>
    <x v="0"/>
    <x v="0"/>
  </r>
  <r>
    <n v="4558609924"/>
    <x v="7"/>
    <n v="5336"/>
    <n v="3.5299999713897701"/>
    <n v="3.5299999713897701"/>
    <n v="0"/>
    <n v="0"/>
    <n v="0"/>
    <n v="3.5299999713897701"/>
    <n v="0"/>
    <n v="0"/>
    <n v="0"/>
    <n v="258"/>
    <n v="1182"/>
    <n v="1902"/>
    <x v="0"/>
    <x v="0"/>
  </r>
  <r>
    <n v="4558609924"/>
    <x v="8"/>
    <n v="3183"/>
    <n v="2.0999999046325701"/>
    <n v="2.0999999046325701"/>
    <n v="0"/>
    <n v="0"/>
    <n v="0"/>
    <n v="2.0999999046325701"/>
    <n v="0"/>
    <n v="0"/>
    <n v="0"/>
    <n v="173"/>
    <n v="1180"/>
    <n v="1680"/>
    <x v="0"/>
    <x v="1"/>
  </r>
  <r>
    <n v="4558609924"/>
    <x v="9"/>
    <n v="6176"/>
    <n v="4.0799999237060502"/>
    <n v="4.0799999237060502"/>
    <n v="0"/>
    <n v="7.0000000298023196E-2"/>
    <n v="0.259999990463257"/>
    <n v="3.75"/>
    <n v="0"/>
    <n v="1"/>
    <n v="7"/>
    <n v="269"/>
    <n v="886"/>
    <n v="1901"/>
    <x v="0"/>
    <x v="1"/>
  </r>
  <r>
    <n v="4558609924"/>
    <x v="10"/>
    <n v="8205"/>
    <n v="5.4200000762939498"/>
    <n v="5.4200000762939498"/>
    <n v="0"/>
    <n v="0"/>
    <n v="0"/>
    <n v="5.4200000762939498"/>
    <n v="0"/>
    <n v="0"/>
    <n v="0"/>
    <n v="367"/>
    <n v="1073"/>
    <n v="2078"/>
    <x v="0"/>
    <x v="0"/>
  </r>
  <r>
    <n v="4558609924"/>
    <x v="11"/>
    <n v="6799"/>
    <n v="4.4899997711181596"/>
    <n v="4.4899997711181596"/>
    <n v="0"/>
    <n v="1.5900000333786"/>
    <n v="0.86000001430511497"/>
    <n v="2.03999996185303"/>
    <n v="0"/>
    <n v="24"/>
    <n v="14"/>
    <n v="185"/>
    <n v="1217"/>
    <n v="1876"/>
    <x v="0"/>
    <x v="0"/>
  </r>
  <r>
    <n v="4558609924"/>
    <x v="12"/>
    <n v="5668"/>
    <n v="3.75"/>
    <n v="3.75"/>
    <n v="0"/>
    <n v="0"/>
    <n v="0"/>
    <n v="3.75"/>
    <n v="0"/>
    <n v="0"/>
    <n v="0"/>
    <n v="259"/>
    <n v="1181"/>
    <n v="1853"/>
    <x v="0"/>
    <x v="0"/>
  </r>
  <r>
    <n v="4558609924"/>
    <x v="13"/>
    <n v="7998"/>
    <n v="5.28999996185303"/>
    <n v="5.28999996185303"/>
    <n v="0"/>
    <n v="0.50999999046325695"/>
    <n v="0.25"/>
    <n v="4.5300002098083496"/>
    <n v="0"/>
    <n v="27"/>
    <n v="12"/>
    <n v="296"/>
    <n v="1105"/>
    <n v="2235"/>
    <x v="0"/>
    <x v="0"/>
  </r>
  <r>
    <n v="4558609924"/>
    <x v="14"/>
    <n v="4195"/>
    <n v="2.7699999809265101"/>
    <n v="2.7699999809265101"/>
    <n v="0"/>
    <n v="0"/>
    <n v="0"/>
    <n v="2.7699999809265101"/>
    <n v="0"/>
    <n v="0"/>
    <n v="0"/>
    <n v="241"/>
    <n v="1199"/>
    <n v="1778"/>
    <x v="0"/>
    <x v="0"/>
  </r>
  <r>
    <n v="4558609924"/>
    <x v="15"/>
    <n v="5512"/>
    <n v="3.6400001049041699"/>
    <n v="3.6400001049041699"/>
    <n v="0"/>
    <n v="0"/>
    <n v="0"/>
    <n v="3.6400001049041699"/>
    <n v="0"/>
    <n v="0"/>
    <n v="0"/>
    <n v="276"/>
    <n v="1164"/>
    <n v="1882"/>
    <x v="0"/>
    <x v="1"/>
  </r>
  <r>
    <n v="4558609924"/>
    <x v="16"/>
    <n v="6263"/>
    <n v="4.1399998664856001"/>
    <n v="4.1399998664856001"/>
    <n v="0"/>
    <n v="0"/>
    <n v="0"/>
    <n v="4.1300001144409197"/>
    <n v="0"/>
    <n v="0"/>
    <n v="0"/>
    <n v="290"/>
    <n v="1150"/>
    <n v="1906"/>
    <x v="0"/>
    <x v="1"/>
  </r>
  <r>
    <n v="4558609924"/>
    <x v="17"/>
    <n v="8828"/>
    <n v="5.8400001525878897"/>
    <n v="5.8400001525878897"/>
    <n v="0"/>
    <n v="0"/>
    <n v="0"/>
    <n v="5.8400001525878897"/>
    <n v="0"/>
    <n v="0"/>
    <n v="0"/>
    <n v="308"/>
    <n v="1132"/>
    <n v="2149"/>
    <x v="0"/>
    <x v="0"/>
  </r>
  <r>
    <n v="4558609924"/>
    <x v="18"/>
    <n v="1260"/>
    <n v="0.82999998331069902"/>
    <n v="0.82999998331069902"/>
    <n v="0"/>
    <n v="0"/>
    <n v="0"/>
    <n v="0.81999999284744296"/>
    <n v="0"/>
    <n v="0"/>
    <n v="0"/>
    <n v="76"/>
    <n v="555"/>
    <n v="722"/>
    <x v="0"/>
    <x v="0"/>
  </r>
  <r>
    <n v="4702921684"/>
    <x v="4"/>
    <n v="6506"/>
    <n v="5.2800002098083496"/>
    <n v="5.2800002098083496"/>
    <n v="0"/>
    <n v="0.33000001311302202"/>
    <n v="0.270000010728836"/>
    <n v="4.6700000762939498"/>
    <n v="0"/>
    <n v="4"/>
    <n v="5"/>
    <n v="241"/>
    <n v="760"/>
    <n v="2886"/>
    <x v="0"/>
    <x v="0"/>
  </r>
  <r>
    <n v="4702921684"/>
    <x v="5"/>
    <n v="7583"/>
    <n v="6.1500000953674299"/>
    <n v="6.1500000953674299"/>
    <n v="0"/>
    <n v="0.25"/>
    <n v="0.55000001192092896"/>
    <n v="5.3499999046325701"/>
    <n v="0"/>
    <n v="3"/>
    <n v="13"/>
    <n v="227"/>
    <n v="742"/>
    <n v="2915"/>
    <x v="0"/>
    <x v="0"/>
  </r>
  <r>
    <n v="4702921684"/>
    <x v="6"/>
    <n v="6963"/>
    <n v="5.6500000953674299"/>
    <n v="5.6500000953674299"/>
    <n v="0"/>
    <n v="0"/>
    <n v="0"/>
    <n v="5.6500000953674299"/>
    <n v="0"/>
    <n v="0"/>
    <n v="0"/>
    <n v="256"/>
    <n v="759"/>
    <n v="2895"/>
    <x v="0"/>
    <x v="0"/>
  </r>
  <r>
    <n v="4702921684"/>
    <x v="7"/>
    <n v="7165"/>
    <n v="5.8099999427795401"/>
    <n v="5.8099999427795401"/>
    <n v="0"/>
    <n v="0"/>
    <n v="0.37000000476837203"/>
    <n v="5.4400000572204599"/>
    <n v="0"/>
    <n v="0"/>
    <n v="9"/>
    <n v="248"/>
    <n v="708"/>
    <n v="2923"/>
    <x v="0"/>
    <x v="0"/>
  </r>
  <r>
    <n v="4702921684"/>
    <x v="8"/>
    <n v="10328"/>
    <n v="8.3800001144409197"/>
    <n v="8.3800001144409197"/>
    <n v="0"/>
    <n v="0"/>
    <n v="1.46000003814697"/>
    <n v="6.9200000762939498"/>
    <n v="0"/>
    <n v="0"/>
    <n v="32"/>
    <n v="367"/>
    <n v="475"/>
    <n v="3323"/>
    <x v="0"/>
    <x v="1"/>
  </r>
  <r>
    <n v="4702921684"/>
    <x v="9"/>
    <n v="12116"/>
    <n v="9.8299999237060494"/>
    <n v="9.8299999237060494"/>
    <n v="0"/>
    <n v="0.25"/>
    <n v="2.8499999046325701"/>
    <n v="6.7199997901916504"/>
    <n v="0"/>
    <n v="3"/>
    <n v="57"/>
    <n v="323"/>
    <n v="471"/>
    <n v="3357"/>
    <x v="0"/>
    <x v="1"/>
  </r>
  <r>
    <n v="4702921684"/>
    <x v="10"/>
    <n v="7810"/>
    <n v="6.3600001335143999"/>
    <n v="6.3600001335143999"/>
    <n v="0"/>
    <n v="0.479999989271164"/>
    <n v="1.20000004768372"/>
    <n v="4.6799998283386204"/>
    <n v="0"/>
    <n v="6"/>
    <n v="27"/>
    <n v="216"/>
    <n v="746"/>
    <n v="2931"/>
    <x v="0"/>
    <x v="0"/>
  </r>
  <r>
    <n v="4702921684"/>
    <x v="11"/>
    <n v="6670"/>
    <n v="5.4099998474121103"/>
    <n v="5.4099998474121103"/>
    <n v="0"/>
    <n v="1.2400000095367401"/>
    <n v="0.80000001192092896"/>
    <n v="3.3699998855590798"/>
    <n v="0"/>
    <n v="15"/>
    <n v="16"/>
    <n v="199"/>
    <n v="770"/>
    <n v="2848"/>
    <x v="0"/>
    <x v="0"/>
  </r>
  <r>
    <n v="4702921684"/>
    <x v="12"/>
    <n v="7605"/>
    <n v="6.1799998283386204"/>
    <n v="6.1799998283386204"/>
    <n v="0"/>
    <n v="0.33000001311302202"/>
    <n v="0.20999999344348899"/>
    <n v="5.6300001144409197"/>
    <n v="0"/>
    <n v="4"/>
    <n v="4"/>
    <n v="248"/>
    <n v="708"/>
    <n v="2943"/>
    <x v="0"/>
    <x v="0"/>
  </r>
  <r>
    <n v="4702921684"/>
    <x v="13"/>
    <n v="6585"/>
    <n v="5.3400001525878897"/>
    <n v="5.3400001525878897"/>
    <n v="0"/>
    <n v="0"/>
    <n v="0"/>
    <n v="5.3400001525878897"/>
    <n v="0"/>
    <n v="0"/>
    <n v="0"/>
    <n v="210"/>
    <n v="770"/>
    <n v="2822"/>
    <x v="0"/>
    <x v="0"/>
  </r>
  <r>
    <n v="4702921684"/>
    <x v="14"/>
    <n v="8184"/>
    <n v="6.6399998664856001"/>
    <n v="6.6399998664856001"/>
    <n v="0"/>
    <n v="0"/>
    <n v="0.62000000476837203"/>
    <n v="5.9499998092651403"/>
    <n v="0"/>
    <n v="0"/>
    <n v="15"/>
    <n v="247"/>
    <n v="808"/>
    <n v="2981"/>
    <x v="0"/>
    <x v="0"/>
  </r>
  <r>
    <n v="4702921684"/>
    <x v="15"/>
    <n v="14002"/>
    <n v="11.3599996566772"/>
    <n v="11.3599996566772"/>
    <n v="0"/>
    <n v="0.61000001430511497"/>
    <n v="2.6800000667571999"/>
    <n v="8.0600004196166992"/>
    <n v="0"/>
    <n v="8"/>
    <n v="56"/>
    <n v="381"/>
    <n v="407"/>
    <n v="3597"/>
    <x v="0"/>
    <x v="1"/>
  </r>
  <r>
    <n v="4702921684"/>
    <x v="16"/>
    <n v="11135"/>
    <n v="9.0299997329711896"/>
    <n v="9.0299997329711896"/>
    <n v="0"/>
    <n v="7.9999998211860698E-2"/>
    <n v="1.1599999666214"/>
    <n v="7.78999996185303"/>
    <n v="0"/>
    <n v="1"/>
    <n v="25"/>
    <n v="331"/>
    <n v="528"/>
    <n v="3224"/>
    <x v="0"/>
    <x v="1"/>
  </r>
  <r>
    <n v="4702921684"/>
    <x v="17"/>
    <n v="6499"/>
    <n v="5.2699999809265101"/>
    <n v="5.2699999809265101"/>
    <n v="0"/>
    <n v="0"/>
    <n v="0"/>
    <n v="5.2699999809265101"/>
    <n v="0"/>
    <n v="0"/>
    <n v="0"/>
    <n v="207"/>
    <n v="809"/>
    <n v="2677"/>
    <x v="0"/>
    <x v="0"/>
  </r>
  <r>
    <n v="4702921684"/>
    <x v="18"/>
    <n v="0"/>
    <n v="0"/>
    <n v="0"/>
    <n v="0"/>
    <n v="0"/>
    <n v="0"/>
    <n v="0"/>
    <n v="0"/>
    <n v="0"/>
    <n v="0"/>
    <n v="0"/>
    <n v="1440"/>
    <n v="0"/>
    <x v="0"/>
    <x v="0"/>
  </r>
  <r>
    <n v="5553957443"/>
    <x v="7"/>
    <n v="12409"/>
    <n v="8.1000003814697301"/>
    <n v="8.1000003814697301"/>
    <n v="0"/>
    <n v="2.9000000953674299"/>
    <n v="0.62999999523162797"/>
    <n v="4.5799999237060502"/>
    <n v="0"/>
    <n v="51"/>
    <n v="12"/>
    <n v="235"/>
    <n v="782"/>
    <n v="2142"/>
    <x v="0"/>
    <x v="0"/>
  </r>
  <r>
    <n v="5553957443"/>
    <x v="8"/>
    <n v="2937"/>
    <n v="1.91999995708466"/>
    <n v="1.91999995708466"/>
    <n v="0"/>
    <n v="0"/>
    <n v="0"/>
    <n v="1.9099999666214"/>
    <n v="0"/>
    <n v="0"/>
    <n v="0"/>
    <n v="181"/>
    <n v="356"/>
    <n v="1615"/>
    <x v="0"/>
    <x v="1"/>
  </r>
  <r>
    <n v="5553957443"/>
    <x v="9"/>
    <n v="1515"/>
    <n v="0.99000000953674305"/>
    <n v="0.99000000953674305"/>
    <n v="0"/>
    <n v="0"/>
    <n v="0"/>
    <n v="0.99000000953674305"/>
    <n v="0"/>
    <n v="0"/>
    <n v="0"/>
    <n v="93"/>
    <n v="507"/>
    <n v="1481"/>
    <x v="0"/>
    <x v="1"/>
  </r>
  <r>
    <n v="5553957443"/>
    <x v="10"/>
    <n v="8921"/>
    <n v="5.8800001144409197"/>
    <n v="5.8800001144409197"/>
    <n v="0"/>
    <n v="2.0699999332428001"/>
    <n v="0.43999999761581399"/>
    <n v="3.3599998950958301"/>
    <n v="0"/>
    <n v="27"/>
    <n v="8"/>
    <n v="198"/>
    <n v="754"/>
    <n v="1892"/>
    <x v="0"/>
    <x v="0"/>
  </r>
  <r>
    <n v="5553957443"/>
    <x v="11"/>
    <n v="11306"/>
    <n v="7.3800001144409197"/>
    <n v="7.3800001144409197"/>
    <n v="0"/>
    <n v="2.3099999427795401"/>
    <n v="0.980000019073486"/>
    <n v="4.0900001525878897"/>
    <n v="0"/>
    <n v="40"/>
    <n v="26"/>
    <n v="218"/>
    <n v="772"/>
    <n v="2086"/>
    <x v="0"/>
    <x v="0"/>
  </r>
  <r>
    <n v="5553957443"/>
    <x v="12"/>
    <n v="12252"/>
    <n v="8"/>
    <n v="8"/>
    <n v="0"/>
    <n v="2.4100000858306898"/>
    <n v="1.70000004768372"/>
    <n v="3.8900001049041699"/>
    <n v="0"/>
    <n v="33"/>
    <n v="28"/>
    <n v="229"/>
    <n v="745"/>
    <n v="2044"/>
    <x v="0"/>
    <x v="0"/>
  </r>
  <r>
    <n v="5553957443"/>
    <x v="13"/>
    <n v="15444"/>
    <n v="10.079999923706101"/>
    <n v="10.079999923706101"/>
    <n v="0"/>
    <n v="3.2699999809265101"/>
    <n v="1.7300000190734901"/>
    <n v="5.0799999237060502"/>
    <n v="0"/>
    <n v="51"/>
    <n v="39"/>
    <n v="243"/>
    <n v="731"/>
    <n v="2249"/>
    <x v="0"/>
    <x v="0"/>
  </r>
  <r>
    <n v="5553957443"/>
    <x v="14"/>
    <n v="9938"/>
    <n v="6.4899997711181596"/>
    <n v="6.4899997711181596"/>
    <n v="0"/>
    <n v="2.1400001049041699"/>
    <n v="1.2799999713897701"/>
    <n v="3.0799999237060498"/>
    <n v="0"/>
    <n v="38"/>
    <n v="24"/>
    <n v="193"/>
    <n v="767"/>
    <n v="2019"/>
    <x v="0"/>
    <x v="0"/>
  </r>
  <r>
    <n v="5553957443"/>
    <x v="15"/>
    <n v="4599"/>
    <n v="3"/>
    <n v="3"/>
    <n v="0"/>
    <n v="0"/>
    <n v="0"/>
    <n v="3"/>
    <n v="0"/>
    <n v="0"/>
    <n v="0"/>
    <n v="176"/>
    <n v="578"/>
    <n v="1692"/>
    <x v="0"/>
    <x v="1"/>
  </r>
  <r>
    <n v="5553957443"/>
    <x v="16"/>
    <n v="5594"/>
    <n v="3.6500000953674299"/>
    <n v="3.6500000953674299"/>
    <n v="0"/>
    <n v="0.28000000119209301"/>
    <n v="1.4800000190734901"/>
    <n v="1.8899999856948899"/>
    <n v="0"/>
    <n v="4"/>
    <n v="25"/>
    <n v="150"/>
    <n v="552"/>
    <n v="1712"/>
    <x v="0"/>
    <x v="1"/>
  </r>
  <r>
    <n v="5553957443"/>
    <x v="17"/>
    <n v="11906"/>
    <n v="7.7699999809265101"/>
    <n v="7.7699999809265101"/>
    <n v="0"/>
    <n v="2.2599999904632599"/>
    <n v="1.5199999809265099"/>
    <n v="3.9900000095367401"/>
    <n v="0"/>
    <n v="32"/>
    <n v="27"/>
    <n v="234"/>
    <n v="688"/>
    <n v="2065"/>
    <x v="0"/>
    <x v="0"/>
  </r>
  <r>
    <n v="5553957443"/>
    <x v="18"/>
    <n v="3436"/>
    <n v="2.2400000095367401"/>
    <n v="2.2400000095367401"/>
    <n v="0"/>
    <n v="0.5"/>
    <n v="0.67000001668930098"/>
    <n v="1.04999995231628"/>
    <n v="0"/>
    <n v="7"/>
    <n v="11"/>
    <n v="50"/>
    <n v="61"/>
    <n v="633"/>
    <x v="0"/>
    <x v="0"/>
  </r>
  <r>
    <n v="5577150313"/>
    <x v="7"/>
    <n v="10461"/>
    <n v="7.8699998855590803"/>
    <n v="7.8699998855590803"/>
    <n v="0"/>
    <n v="4.7600002288818404"/>
    <n v="0.85000002384185802"/>
    <n v="2.25"/>
    <n v="0"/>
    <n v="99"/>
    <n v="31"/>
    <n v="142"/>
    <n v="721"/>
    <n v="3625"/>
    <x v="0"/>
    <x v="0"/>
  </r>
  <r>
    <n v="5577150313"/>
    <x v="8"/>
    <n v="14873"/>
    <n v="11.1099996566772"/>
    <n v="11.1099996566772"/>
    <n v="0"/>
    <n v="8.1899995803833008"/>
    <n v="0.60000002384185802"/>
    <n v="2.3099999427795401"/>
    <n v="0"/>
    <n v="202"/>
    <n v="36"/>
    <n v="153"/>
    <n v="663"/>
    <n v="4430"/>
    <x v="0"/>
    <x v="1"/>
  </r>
  <r>
    <n v="5577150313"/>
    <x v="9"/>
    <n v="9917"/>
    <n v="7.4099998474121103"/>
    <n v="7.4099998474121103"/>
    <n v="0"/>
    <n v="1.9900000095367401"/>
    <n v="0.97000002861022905"/>
    <n v="4.4400000572204599"/>
    <n v="0"/>
    <n v="58"/>
    <n v="27"/>
    <n v="240"/>
    <n v="700"/>
    <n v="3427"/>
    <x v="0"/>
    <x v="1"/>
  </r>
  <r>
    <n v="5577150313"/>
    <x v="10"/>
    <n v="7401"/>
    <n v="5.5599999427795401"/>
    <n v="5.5599999427795401"/>
    <n v="0"/>
    <n v="2.3199999332428001"/>
    <n v="0.36000001430511502"/>
    <n v="2.8800001144409202"/>
    <n v="0"/>
    <n v="70"/>
    <n v="19"/>
    <n v="204"/>
    <n v="689"/>
    <n v="3492"/>
    <x v="0"/>
    <x v="0"/>
  </r>
  <r>
    <n v="5577150313"/>
    <x v="11"/>
    <n v="8964"/>
    <n v="6.6999998092651403"/>
    <n v="6.6999998092651403"/>
    <n v="0"/>
    <n v="3.9700000286102299"/>
    <n v="0.18999999761581399"/>
    <n v="2.5299999713897701"/>
    <n v="0"/>
    <n v="107"/>
    <n v="18"/>
    <n v="145"/>
    <n v="756"/>
    <n v="3597"/>
    <x v="0"/>
    <x v="0"/>
  </r>
  <r>
    <n v="5577150313"/>
    <x v="12"/>
    <n v="11080"/>
    <n v="8.3000001907348597"/>
    <n v="8.3000001907348597"/>
    <n v="0"/>
    <n v="3.1300001144409202"/>
    <n v="1.37000000476837"/>
    <n v="3.8099999427795401"/>
    <n v="0"/>
    <n v="83"/>
    <n v="52"/>
    <n v="190"/>
    <n v="695"/>
    <n v="3765"/>
    <x v="0"/>
    <x v="0"/>
  </r>
  <r>
    <n v="5577150313"/>
    <x v="13"/>
    <n v="4499"/>
    <n v="3.3599998950958301"/>
    <n v="3.3599998950958301"/>
    <n v="0"/>
    <n v="0.88999998569488503"/>
    <n v="0.259999990463257"/>
    <n v="2.21000003814697"/>
    <n v="0"/>
    <n v="31"/>
    <n v="11"/>
    <n v="146"/>
    <n v="756"/>
    <n v="2775"/>
    <x v="0"/>
    <x v="0"/>
  </r>
  <r>
    <n v="5577150313"/>
    <x v="14"/>
    <n v="4363"/>
    <n v="3.2599999904632599"/>
    <n v="3.2599999904632599"/>
    <n v="0"/>
    <n v="0.129999995231628"/>
    <n v="5.9999998658895499E-2"/>
    <n v="3.0799999237060498"/>
    <n v="0"/>
    <n v="8"/>
    <n v="2"/>
    <n v="156"/>
    <n v="813"/>
    <n v="2486"/>
    <x v="0"/>
    <x v="0"/>
  </r>
  <r>
    <n v="5577150313"/>
    <x v="15"/>
    <n v="10494"/>
    <n v="7.8400001525878897"/>
    <n v="7.8400001525878897"/>
    <n v="0"/>
    <n v="4.9099998474121103"/>
    <n v="0.77999997138977095"/>
    <n v="2.1500000953674299"/>
    <n v="0"/>
    <n v="123"/>
    <n v="62"/>
    <n v="138"/>
    <n v="601"/>
    <n v="3817"/>
    <x v="0"/>
    <x v="1"/>
  </r>
  <r>
    <n v="5577150313"/>
    <x v="16"/>
    <n v="9776"/>
    <n v="7.3800001144409197"/>
    <n v="7.3800001144409197"/>
    <n v="0"/>
    <n v="2.9300000667571999"/>
    <n v="1.4299999475479099"/>
    <n v="3.0199999809265101"/>
    <n v="0"/>
    <n v="80"/>
    <n v="35"/>
    <n v="162"/>
    <n v="721"/>
    <n v="3378"/>
    <x v="0"/>
    <x v="1"/>
  </r>
  <r>
    <n v="5577150313"/>
    <x v="17"/>
    <n v="2862"/>
    <n v="2.1400001049041699"/>
    <n v="2.1400001049041699"/>
    <n v="0"/>
    <n v="1.03999996185303"/>
    <n v="0.25"/>
    <n v="0.83999997377395597"/>
    <n v="0"/>
    <n v="39"/>
    <n v="17"/>
    <n v="54"/>
    <n v="209"/>
    <n v="1511"/>
    <x v="0"/>
    <x v="0"/>
  </r>
  <r>
    <n v="6117666160"/>
    <x v="7"/>
    <n v="7444"/>
    <n v="5.6199998855590803"/>
    <n v="5.6199998855590803"/>
    <n v="0"/>
    <n v="0"/>
    <n v="0"/>
    <n v="5.6199998855590803"/>
    <n v="0"/>
    <n v="0"/>
    <n v="0"/>
    <n v="286"/>
    <n v="568"/>
    <n v="2210"/>
    <x v="0"/>
    <x v="0"/>
  </r>
  <r>
    <n v="6117666160"/>
    <x v="8"/>
    <n v="19658"/>
    <n v="14.8400001525879"/>
    <n v="14.8400001525879"/>
    <n v="0"/>
    <n v="0.239999994635582"/>
    <n v="2.0899999141693102"/>
    <n v="12.5100002288818"/>
    <n v="0"/>
    <n v="3"/>
    <n v="30"/>
    <n v="475"/>
    <n v="466"/>
    <n v="2884"/>
    <x v="0"/>
    <x v="1"/>
  </r>
  <r>
    <n v="6117666160"/>
    <x v="9"/>
    <n v="0"/>
    <n v="0"/>
    <n v="0"/>
    <n v="0"/>
    <n v="0"/>
    <n v="0"/>
    <n v="0"/>
    <n v="0"/>
    <n v="0"/>
    <n v="0"/>
    <n v="0"/>
    <n v="1440"/>
    <n v="1496"/>
    <x v="0"/>
    <x v="1"/>
  </r>
  <r>
    <n v="6117666160"/>
    <x v="10"/>
    <n v="8468"/>
    <n v="6.3899998664856001"/>
    <n v="6.3899998664856001"/>
    <n v="0"/>
    <n v="0.18000000715255701"/>
    <n v="0.63999998569488503"/>
    <n v="5.5700001716613796"/>
    <n v="0"/>
    <n v="2"/>
    <n v="11"/>
    <n v="279"/>
    <n v="1148"/>
    <n v="2262"/>
    <x v="0"/>
    <x v="0"/>
  </r>
  <r>
    <n v="6117666160"/>
    <x v="11"/>
    <n v="9910"/>
    <n v="7.4800000190734899"/>
    <n v="7.4800000190734899"/>
    <n v="0"/>
    <n v="0"/>
    <n v="0"/>
    <n v="7.4800000190734899"/>
    <n v="0"/>
    <n v="0"/>
    <n v="0"/>
    <n v="384"/>
    <n v="990"/>
    <n v="2445"/>
    <x v="0"/>
    <x v="0"/>
  </r>
  <r>
    <n v="6117666160"/>
    <x v="12"/>
    <n v="12409"/>
    <n v="9.3699998855590803"/>
    <n v="9.3699998855590803"/>
    <n v="0"/>
    <n v="0"/>
    <n v="0"/>
    <n v="9.3699998855590803"/>
    <n v="0"/>
    <n v="0"/>
    <n v="0"/>
    <n v="491"/>
    <n v="388"/>
    <n v="2694"/>
    <x v="0"/>
    <x v="0"/>
  </r>
  <r>
    <n v="6117666160"/>
    <x v="13"/>
    <n v="4853"/>
    <n v="3.6600000858306898"/>
    <n v="3.6600000858306898"/>
    <n v="0"/>
    <n v="0"/>
    <n v="0"/>
    <n v="3.6600000858306898"/>
    <n v="0"/>
    <n v="0"/>
    <n v="0"/>
    <n v="156"/>
    <n v="770"/>
    <n v="1903"/>
    <x v="0"/>
    <x v="0"/>
  </r>
  <r>
    <n v="6117666160"/>
    <x v="14"/>
    <n v="8955"/>
    <n v="6.7600002288818404"/>
    <n v="6.7600002288818404"/>
    <n v="0"/>
    <n v="0"/>
    <n v="0"/>
    <n v="6.7300000190734899"/>
    <n v="0"/>
    <n v="0"/>
    <n v="0"/>
    <n v="422"/>
    <n v="1018"/>
    <n v="2482"/>
    <x v="0"/>
    <x v="0"/>
  </r>
  <r>
    <n v="6117666160"/>
    <x v="15"/>
    <n v="10789"/>
    <n v="8.1499996185302699"/>
    <n v="8.1499996185302699"/>
    <n v="0"/>
    <n v="0"/>
    <n v="0"/>
    <n v="8.1499996185302699"/>
    <n v="0"/>
    <n v="0"/>
    <n v="0"/>
    <n v="506"/>
    <n v="413"/>
    <n v="2617"/>
    <x v="0"/>
    <x v="1"/>
  </r>
  <r>
    <n v="6117666160"/>
    <x v="16"/>
    <n v="0"/>
    <n v="0"/>
    <n v="0"/>
    <n v="0"/>
    <n v="0"/>
    <n v="0"/>
    <n v="0"/>
    <n v="0"/>
    <n v="0"/>
    <n v="0"/>
    <n v="0"/>
    <n v="1440"/>
    <n v="0"/>
    <x v="0"/>
    <x v="1"/>
  </r>
  <r>
    <n v="6290855005"/>
    <x v="7"/>
    <n v="6633"/>
    <n v="5.0100002288818404"/>
    <n v="5.0100002288818404"/>
    <n v="0"/>
    <n v="0"/>
    <n v="0"/>
    <n v="5.0100002288818404"/>
    <n v="0"/>
    <n v="0"/>
    <n v="0"/>
    <n v="280"/>
    <n v="1160"/>
    <n v="2778"/>
    <x v="0"/>
    <x v="0"/>
  </r>
  <r>
    <n v="6290855005"/>
    <x v="8"/>
    <n v="9548"/>
    <n v="7.2199997901916504"/>
    <n v="7.2199997901916504"/>
    <n v="0"/>
    <n v="2.0199999809265101"/>
    <n v="3.6800000667571999"/>
    <n v="1.5199999809265099"/>
    <n v="0"/>
    <n v="25"/>
    <n v="107"/>
    <n v="113"/>
    <n v="1195"/>
    <n v="3119"/>
    <x v="0"/>
    <x v="1"/>
  </r>
  <r>
    <n v="6290855005"/>
    <x v="9"/>
    <n v="0"/>
    <n v="0"/>
    <n v="0"/>
    <n v="0"/>
    <n v="0"/>
    <n v="0"/>
    <n v="0"/>
    <n v="0"/>
    <n v="33"/>
    <n v="0"/>
    <n v="0"/>
    <n v="1407"/>
    <n v="2664"/>
    <x v="0"/>
    <x v="1"/>
  </r>
  <r>
    <n v="6290855005"/>
    <x v="10"/>
    <n v="0"/>
    <n v="0"/>
    <n v="0"/>
    <n v="0"/>
    <n v="0"/>
    <n v="0"/>
    <n v="0"/>
    <n v="0"/>
    <n v="0"/>
    <n v="0"/>
    <n v="0"/>
    <n v="1440"/>
    <n v="2060"/>
    <x v="0"/>
    <x v="0"/>
  </r>
  <r>
    <n v="6290855005"/>
    <x v="11"/>
    <n v="0"/>
    <n v="0"/>
    <n v="0"/>
    <n v="0"/>
    <n v="0"/>
    <n v="0"/>
    <n v="0"/>
    <n v="0"/>
    <n v="0"/>
    <n v="0"/>
    <n v="0"/>
    <n v="1440"/>
    <n v="2060"/>
    <x v="0"/>
    <x v="0"/>
  </r>
  <r>
    <n v="6290855005"/>
    <x v="12"/>
    <n v="0"/>
    <n v="0"/>
    <n v="0"/>
    <n v="0"/>
    <n v="0"/>
    <n v="0"/>
    <n v="0"/>
    <n v="0"/>
    <n v="0"/>
    <n v="0"/>
    <n v="0"/>
    <n v="1440"/>
    <n v="2060"/>
    <x v="0"/>
    <x v="0"/>
  </r>
  <r>
    <n v="6290855005"/>
    <x v="13"/>
    <n v="0"/>
    <n v="0"/>
    <n v="0"/>
    <n v="0"/>
    <n v="0"/>
    <n v="0"/>
    <n v="0"/>
    <n v="0"/>
    <n v="0"/>
    <n v="0"/>
    <n v="0"/>
    <n v="1440"/>
    <n v="2060"/>
    <x v="0"/>
    <x v="0"/>
  </r>
  <r>
    <n v="6290855005"/>
    <x v="14"/>
    <n v="0"/>
    <n v="0"/>
    <n v="0"/>
    <n v="0"/>
    <n v="0"/>
    <n v="0"/>
    <n v="0"/>
    <n v="0"/>
    <n v="0"/>
    <n v="0"/>
    <n v="0"/>
    <n v="1440"/>
    <n v="2060"/>
    <x v="0"/>
    <x v="0"/>
  </r>
  <r>
    <n v="6290855005"/>
    <x v="15"/>
    <n v="0"/>
    <n v="0"/>
    <n v="0"/>
    <n v="0"/>
    <n v="0"/>
    <n v="0"/>
    <n v="0"/>
    <n v="0"/>
    <n v="0"/>
    <n v="0"/>
    <n v="0"/>
    <n v="1440"/>
    <n v="2060"/>
    <x v="0"/>
    <x v="1"/>
  </r>
  <r>
    <n v="6290855005"/>
    <x v="16"/>
    <n v="0"/>
    <n v="0"/>
    <n v="0"/>
    <n v="0"/>
    <n v="0"/>
    <n v="0"/>
    <n v="0"/>
    <n v="0"/>
    <n v="20"/>
    <n v="0"/>
    <n v="0"/>
    <n v="494"/>
    <n v="735"/>
    <x v="0"/>
    <x v="1"/>
  </r>
  <r>
    <n v="6391747486"/>
    <x v="7"/>
    <n v="0"/>
    <n v="0"/>
    <n v="0"/>
    <n v="0"/>
    <n v="0"/>
    <n v="0"/>
    <n v="0"/>
    <n v="0"/>
    <n v="0"/>
    <n v="0"/>
    <n v="0"/>
    <n v="1440"/>
    <n v="1820"/>
    <x v="0"/>
    <x v="0"/>
  </r>
  <r>
    <n v="6391747486"/>
    <x v="8"/>
    <n v="2101"/>
    <n v="2.0299999713897701"/>
    <n v="0"/>
    <n v="2.0277729034423801"/>
    <n v="2.0299999713897701"/>
    <n v="0"/>
    <n v="0"/>
    <n v="0"/>
    <n v="46"/>
    <n v="0"/>
    <n v="0"/>
    <n v="1394"/>
    <n v="2224"/>
    <x v="0"/>
    <x v="1"/>
  </r>
  <r>
    <n v="6391747486"/>
    <x v="9"/>
    <n v="0"/>
    <n v="0"/>
    <n v="0"/>
    <n v="0"/>
    <n v="0"/>
    <n v="0"/>
    <n v="0"/>
    <n v="0"/>
    <n v="0"/>
    <n v="0"/>
    <n v="0"/>
    <n v="1440"/>
    <n v="1820"/>
    <x v="0"/>
    <x v="1"/>
  </r>
  <r>
    <n v="6391747486"/>
    <x v="10"/>
    <n v="0"/>
    <n v="0"/>
    <n v="0"/>
    <n v="0"/>
    <n v="0"/>
    <n v="0"/>
    <n v="0"/>
    <n v="0"/>
    <n v="0"/>
    <n v="0"/>
    <n v="0"/>
    <n v="1440"/>
    <n v="1820"/>
    <x v="0"/>
    <x v="0"/>
  </r>
  <r>
    <n v="6391747486"/>
    <x v="11"/>
    <n v="9766"/>
    <n v="7.5100002288818404"/>
    <n v="0.77999997138977095"/>
    <n v="6.7270569801330602"/>
    <n v="0"/>
    <n v="5.0000000745058101E-2"/>
    <n v="7.46000003814697"/>
    <n v="0"/>
    <n v="0"/>
    <n v="6"/>
    <n v="301"/>
    <n v="1133"/>
    <n v="2442"/>
    <x v="0"/>
    <x v="0"/>
  </r>
  <r>
    <n v="6391747486"/>
    <x v="12"/>
    <n v="165"/>
    <n v="0.129999995231628"/>
    <n v="0.129999995231628"/>
    <n v="0"/>
    <n v="0"/>
    <n v="0"/>
    <n v="0.129999995231628"/>
    <n v="0"/>
    <n v="0"/>
    <n v="0"/>
    <n v="8"/>
    <n v="1432"/>
    <n v="1849"/>
    <x v="0"/>
    <x v="0"/>
  </r>
  <r>
    <n v="6391747486"/>
    <x v="13"/>
    <n v="0"/>
    <n v="0"/>
    <n v="0"/>
    <n v="0"/>
    <n v="0"/>
    <n v="0"/>
    <n v="0"/>
    <n v="0"/>
    <n v="0"/>
    <n v="0"/>
    <n v="0"/>
    <n v="1440"/>
    <n v="1822"/>
    <x v="0"/>
    <x v="0"/>
  </r>
  <r>
    <n v="6391747486"/>
    <x v="14"/>
    <n v="0"/>
    <n v="0"/>
    <n v="0"/>
    <n v="0"/>
    <n v="0"/>
    <n v="0"/>
    <n v="0"/>
    <n v="0"/>
    <n v="0"/>
    <n v="0"/>
    <n v="0"/>
    <n v="1440"/>
    <n v="1820"/>
    <x v="0"/>
    <x v="0"/>
  </r>
  <r>
    <n v="6391747486"/>
    <x v="15"/>
    <n v="0"/>
    <n v="0"/>
    <n v="0"/>
    <n v="0"/>
    <n v="0"/>
    <n v="0"/>
    <n v="0"/>
    <n v="0"/>
    <n v="0"/>
    <n v="0"/>
    <n v="0"/>
    <n v="198"/>
    <n v="251"/>
    <x v="0"/>
    <x v="1"/>
  </r>
  <r>
    <n v="6775888955"/>
    <x v="7"/>
    <n v="7225"/>
    <n v="5.1799998283386204"/>
    <n v="5.1799998283386204"/>
    <n v="0"/>
    <n v="1.7300000190734901"/>
    <n v="1.2699999809265099"/>
    <n v="2.1800000667571999"/>
    <n v="0"/>
    <n v="25"/>
    <n v="50"/>
    <n v="163"/>
    <n v="1189"/>
    <n v="3065"/>
    <x v="0"/>
    <x v="0"/>
  </r>
  <r>
    <n v="6775888955"/>
    <x v="8"/>
    <n v="1988"/>
    <n v="1.4299999475479099"/>
    <n v="1.4299999475479099"/>
    <n v="0"/>
    <n v="0"/>
    <n v="0"/>
    <n v="1.4299999475479099"/>
    <n v="0"/>
    <n v="0"/>
    <n v="0"/>
    <n v="79"/>
    <n v="909"/>
    <n v="2207"/>
    <x v="0"/>
    <x v="1"/>
  </r>
  <r>
    <n v="6775888955"/>
    <x v="9"/>
    <n v="1577"/>
    <n v="1.12999999523163"/>
    <n v="1.12999999523163"/>
    <n v="0"/>
    <n v="7.0000000298023196E-2"/>
    <n v="0.88999998569488503"/>
    <n v="0.17000000178813901"/>
    <n v="0"/>
    <n v="1"/>
    <n v="17"/>
    <n v="8"/>
    <n v="1414"/>
    <n v="1977"/>
    <x v="0"/>
    <x v="1"/>
  </r>
  <r>
    <n v="6775888955"/>
    <x v="10"/>
    <n v="0"/>
    <n v="0"/>
    <n v="0"/>
    <n v="0"/>
    <n v="0"/>
    <n v="0"/>
    <n v="0"/>
    <n v="0"/>
    <n v="0"/>
    <n v="0"/>
    <n v="0"/>
    <n v="1440"/>
    <n v="1841"/>
    <x v="0"/>
    <x v="0"/>
  </r>
  <r>
    <n v="6775888955"/>
    <x v="11"/>
    <n v="9348"/>
    <n v="6.6999998092651403"/>
    <n v="6.6999998092651403"/>
    <n v="0"/>
    <n v="1.12999999523163"/>
    <n v="2.03999996185303"/>
    <n v="3.1400001049041699"/>
    <n v="0"/>
    <n v="56"/>
    <n v="133"/>
    <n v="240"/>
    <n v="1011"/>
    <n v="4286"/>
    <x v="0"/>
    <x v="0"/>
  </r>
  <r>
    <n v="6775888955"/>
    <x v="12"/>
    <n v="11761"/>
    <n v="8.4300003051757795"/>
    <n v="8.4300003051757795"/>
    <n v="0"/>
    <n v="1.3099999427795399"/>
    <n v="2.4400000572204599"/>
    <n v="4.6799998283386204"/>
    <n v="0"/>
    <n v="24"/>
    <n v="99"/>
    <n v="300"/>
    <n v="550"/>
    <n v="3920"/>
    <x v="0"/>
    <x v="0"/>
  </r>
  <r>
    <n v="6775888955"/>
    <x v="13"/>
    <n v="13987"/>
    <n v="10.0299997329712"/>
    <n v="10.0299997329712"/>
    <n v="0"/>
    <n v="2.8699998855590798"/>
    <n v="3.3399999141693102"/>
    <n v="3.8199999332428001"/>
    <n v="0"/>
    <n v="46"/>
    <n v="114"/>
    <n v="250"/>
    <n v="739"/>
    <n v="3856"/>
    <x v="0"/>
    <x v="0"/>
  </r>
  <r>
    <n v="6775888955"/>
    <x v="14"/>
    <n v="4131"/>
    <n v="2.96000003814697"/>
    <n v="2.96000003814697"/>
    <n v="0"/>
    <n v="1.37000000476837"/>
    <n v="0.61000001430511497"/>
    <n v="0.980000019073486"/>
    <n v="0"/>
    <n v="27"/>
    <n v="30"/>
    <n v="75"/>
    <n v="1308"/>
    <n v="2584"/>
    <x v="0"/>
    <x v="0"/>
  </r>
  <r>
    <n v="6775888955"/>
    <x v="15"/>
    <n v="14"/>
    <n v="9.9999997764825804E-3"/>
    <n v="9.9999997764825804E-3"/>
    <n v="0"/>
    <n v="0"/>
    <n v="0"/>
    <n v="9.9999997764825804E-3"/>
    <n v="0"/>
    <n v="0"/>
    <n v="0"/>
    <n v="1"/>
    <n v="601"/>
    <n v="787"/>
    <x v="0"/>
    <x v="1"/>
  </r>
  <r>
    <n v="6962181067"/>
    <x v="5"/>
    <n v="15491"/>
    <n v="10.2399997711182"/>
    <n v="10.2399997711182"/>
    <n v="0"/>
    <n v="1.28999996185303"/>
    <n v="4.4899997711181596"/>
    <n v="4.46000003814697"/>
    <n v="0"/>
    <n v="18"/>
    <n v="77"/>
    <n v="272"/>
    <n v="641"/>
    <n v="2244"/>
    <x v="0"/>
    <x v="0"/>
  </r>
  <r>
    <n v="6962181067"/>
    <x v="6"/>
    <n v="14097"/>
    <n v="9.3199996948242205"/>
    <n v="9.3199996948242205"/>
    <n v="0"/>
    <n v="3.5"/>
    <n v="1.91999995708466"/>
    <n v="3.9000000953674299"/>
    <n v="0"/>
    <n v="50"/>
    <n v="32"/>
    <n v="234"/>
    <n v="595"/>
    <n v="2188"/>
    <x v="0"/>
    <x v="0"/>
  </r>
  <r>
    <n v="6962181067"/>
    <x v="7"/>
    <n v="10467"/>
    <n v="6.9800000190734899"/>
    <n v="6.9800000190734899"/>
    <n v="0"/>
    <n v="0.69999998807907104"/>
    <n v="2.4300000667571999"/>
    <n v="3.8499999046325701"/>
    <n v="0"/>
    <n v="9"/>
    <n v="45"/>
    <n v="252"/>
    <n v="602"/>
    <n v="2014"/>
    <x v="0"/>
    <x v="0"/>
  </r>
  <r>
    <n v="6962181067"/>
    <x v="8"/>
    <n v="12437"/>
    <n v="8.3000001907348597"/>
    <n v="8.3000001907348597"/>
    <n v="0"/>
    <n v="3.7599999904632599"/>
    <n v="1.28999996185303"/>
    <n v="3.2400000095367401"/>
    <n v="0"/>
    <n v="50"/>
    <n v="24"/>
    <n v="219"/>
    <n v="732"/>
    <n v="2115"/>
    <x v="0"/>
    <x v="1"/>
  </r>
  <r>
    <n v="6962181067"/>
    <x v="9"/>
    <n v="12307"/>
    <n v="8.1400003433227504"/>
    <n v="8.1400003433227504"/>
    <n v="0"/>
    <n v="1.0099999904632599"/>
    <n v="3.2599999904632599"/>
    <n v="3.8699998855590798"/>
    <n v="0"/>
    <n v="14"/>
    <n v="51"/>
    <n v="218"/>
    <n v="589"/>
    <n v="2055"/>
    <x v="0"/>
    <x v="1"/>
  </r>
  <r>
    <n v="6962181067"/>
    <x v="10"/>
    <n v="18952"/>
    <n v="12.800000190734901"/>
    <n v="12.800000190734901"/>
    <n v="0"/>
    <n v="5.9099998474121103"/>
    <n v="1.2300000190734901"/>
    <n v="5.6599998474121103"/>
    <n v="0"/>
    <n v="73"/>
    <n v="20"/>
    <n v="327"/>
    <n v="570"/>
    <n v="2437"/>
    <x v="0"/>
    <x v="0"/>
  </r>
  <r>
    <n v="6962181067"/>
    <x v="11"/>
    <n v="12010"/>
    <n v="7.9400000572204599"/>
    <n v="7.9400000572204599"/>
    <n v="0"/>
    <n v="2.3800001144409202"/>
    <n v="0.94999998807907104"/>
    <n v="4.6100001335143999"/>
    <n v="0"/>
    <n v="38"/>
    <n v="17"/>
    <n v="287"/>
    <n v="692"/>
    <n v="2158"/>
    <x v="0"/>
    <x v="0"/>
  </r>
  <r>
    <n v="6962181067"/>
    <x v="12"/>
    <n v="12480"/>
    <n v="8.8599996566772496"/>
    <n v="8.25"/>
    <n v="3.9727950096130402"/>
    <n v="4.1799998283386204"/>
    <n v="0.68999999761581399"/>
    <n v="4"/>
    <n v="0"/>
    <n v="55"/>
    <n v="14"/>
    <n v="276"/>
    <n v="593"/>
    <n v="2170"/>
    <x v="0"/>
    <x v="0"/>
  </r>
  <r>
    <n v="6962181067"/>
    <x v="13"/>
    <n v="13417"/>
    <n v="9.6499996185302699"/>
    <n v="8.8699998855590803"/>
    <n v="1.92630195617676"/>
    <n v="3.3900001049041699"/>
    <n v="1.25"/>
    <n v="4.9099998474121103"/>
    <n v="0.10000000149011599"/>
    <n v="45"/>
    <n v="16"/>
    <n v="284"/>
    <n v="665"/>
    <n v="2244"/>
    <x v="0"/>
    <x v="0"/>
  </r>
  <r>
    <n v="6962181067"/>
    <x v="14"/>
    <n v="14400"/>
    <n v="10.8800001144409"/>
    <n v="9.5200004577636701"/>
    <n v="5.4568638801574698"/>
    <n v="2.4700000286102299"/>
    <n v="2.8800001144409202"/>
    <n v="5.5300002098083496"/>
    <n v="0"/>
    <n v="27"/>
    <n v="37"/>
    <n v="276"/>
    <n v="697"/>
    <n v="2188"/>
    <x v="0"/>
    <x v="0"/>
  </r>
  <r>
    <n v="6962181067"/>
    <x v="15"/>
    <n v="12495"/>
    <n v="8.2600002288818395"/>
    <n v="8.2600002288818395"/>
    <n v="0"/>
    <n v="2.21000003814697"/>
    <n v="1.0900000333786"/>
    <n v="4.96000003814697"/>
    <n v="0"/>
    <n v="33"/>
    <n v="19"/>
    <n v="324"/>
    <n v="609"/>
    <n v="2231"/>
    <x v="0"/>
    <x v="1"/>
  </r>
  <r>
    <n v="6962181067"/>
    <x v="16"/>
    <n v="10148"/>
    <n v="6.71000003814697"/>
    <n v="6.71000003814697"/>
    <n v="0"/>
    <n v="1.3600000143051101"/>
    <n v="0.21999999880790699"/>
    <n v="5.1300001144409197"/>
    <n v="0"/>
    <n v="19"/>
    <n v="7"/>
    <n v="306"/>
    <n v="679"/>
    <n v="2100"/>
    <x v="0"/>
    <x v="1"/>
  </r>
  <r>
    <n v="6962181067"/>
    <x v="17"/>
    <n v="12362"/>
    <n v="9.0900001525878906"/>
    <n v="8.1700000762939506"/>
    <n v="2.6964550018310498"/>
    <n v="1.0900000333786"/>
    <n v="2.7300000190734899"/>
    <n v="5.2699999809265101"/>
    <n v="0"/>
    <n v="21"/>
    <n v="38"/>
    <n v="297"/>
    <n v="678"/>
    <n v="2188"/>
    <x v="0"/>
    <x v="0"/>
  </r>
  <r>
    <n v="6962181067"/>
    <x v="18"/>
    <n v="5893"/>
    <n v="3.9000000953674299"/>
    <n v="3.9000000953674299"/>
    <n v="0"/>
    <n v="2.8800001144409202"/>
    <n v="0.56000000238418601"/>
    <n v="0.46000000834464999"/>
    <n v="0"/>
    <n v="43"/>
    <n v="9"/>
    <n v="48"/>
    <n v="146"/>
    <n v="917"/>
    <x v="0"/>
    <x v="0"/>
  </r>
  <r>
    <n v="7007744171"/>
    <x v="7"/>
    <n v="11680"/>
    <n v="9.0600004196166992"/>
    <n v="7.8099999427795401"/>
    <n v="4.9012827873229998"/>
    <n v="4.4899997711181596"/>
    <n v="0.33000001311302202"/>
    <n v="4.2399997711181596"/>
    <n v="0"/>
    <n v="50"/>
    <n v="7"/>
    <n v="244"/>
    <n v="1139"/>
    <n v="2573"/>
    <x v="0"/>
    <x v="0"/>
  </r>
  <r>
    <n v="7007744171"/>
    <x v="8"/>
    <n v="10976"/>
    <n v="7.3400001525878897"/>
    <n v="7.3400001525878897"/>
    <n v="0"/>
    <n v="0.55000001192092896"/>
    <n v="0.67000001668930098"/>
    <n v="6.1300001144409197"/>
    <n v="0"/>
    <n v="9"/>
    <n v="16"/>
    <n v="271"/>
    <n v="1075"/>
    <n v="2575"/>
    <x v="0"/>
    <x v="1"/>
  </r>
  <r>
    <n v="7007744171"/>
    <x v="9"/>
    <n v="16806"/>
    <n v="11.2399997711182"/>
    <n v="11.2399997711182"/>
    <n v="0"/>
    <n v="6.4099998474121103"/>
    <n v="1.37000000476837"/>
    <n v="3.4700000286102299"/>
    <n v="0"/>
    <n v="104"/>
    <n v="31"/>
    <n v="230"/>
    <n v="1002"/>
    <n v="3086"/>
    <x v="0"/>
    <x v="1"/>
  </r>
  <r>
    <n v="7007744171"/>
    <x v="10"/>
    <n v="15266"/>
    <n v="11.3999996185303"/>
    <n v="10.210000038146999"/>
    <n v="5.1898498535156303"/>
    <n v="5.8000001907348597"/>
    <n v="0.75999999046325695"/>
    <n v="4.78999996185303"/>
    <n v="5.0000000745058101E-2"/>
    <n v="70"/>
    <n v="21"/>
    <n v="292"/>
    <n v="1057"/>
    <n v="2886"/>
    <x v="0"/>
    <x v="0"/>
  </r>
  <r>
    <n v="7007744171"/>
    <x v="11"/>
    <n v="12084"/>
    <n v="9.1400003433227504"/>
    <n v="8.0799999237060494"/>
    <n v="4.8363800048828098"/>
    <n v="4.3899998664856001"/>
    <n v="0.46000000834464999"/>
    <n v="4.28999996185303"/>
    <n v="0"/>
    <n v="50"/>
    <n v="6"/>
    <n v="284"/>
    <n v="1030"/>
    <n v="2676"/>
    <x v="0"/>
    <x v="0"/>
  </r>
  <r>
    <n v="7007744171"/>
    <x v="12"/>
    <n v="13513"/>
    <n v="10.25"/>
    <n v="9.0699996948242205"/>
    <n v="4.8357200622558603"/>
    <n v="5.3499999046325701"/>
    <n v="0.33000001311302202"/>
    <n v="4.5599999427795401"/>
    <n v="0"/>
    <n v="64"/>
    <n v="8"/>
    <n v="270"/>
    <n v="1098"/>
    <n v="2811"/>
    <x v="0"/>
    <x v="0"/>
  </r>
  <r>
    <n v="7007744171"/>
    <x v="13"/>
    <n v="14100"/>
    <n v="10.579999923706101"/>
    <n v="9.4300003051757795"/>
    <n v="4.8759899139404297"/>
    <n v="5.0999999046325701"/>
    <n v="1.1900000572204601"/>
    <n v="4.2800002098083496"/>
    <n v="0"/>
    <n v="61"/>
    <n v="33"/>
    <n v="265"/>
    <n v="1015"/>
    <n v="2840"/>
    <x v="0"/>
    <x v="0"/>
  </r>
  <r>
    <n v="7007744171"/>
    <x v="14"/>
    <n v="12627"/>
    <n v="9.6499996185302699"/>
    <n v="8.4499998092651403"/>
    <n v="4.8423199653625497"/>
    <n v="4.6999998092651403"/>
    <n v="0.74000000953674305"/>
    <n v="4.21000003814697"/>
    <n v="0"/>
    <n v="54"/>
    <n v="22"/>
    <n v="301"/>
    <n v="1063"/>
    <n v="2871"/>
    <x v="0"/>
    <x v="0"/>
  </r>
  <r>
    <n v="7007744171"/>
    <x v="15"/>
    <n v="10345"/>
    <n v="6.9200000762939498"/>
    <n v="6.9200000762939498"/>
    <n v="0"/>
    <n v="7.0000000298023196E-2"/>
    <n v="0.270000010728836"/>
    <n v="6.5799999237060502"/>
    <n v="0"/>
    <n v="2"/>
    <n v="6"/>
    <n v="358"/>
    <n v="1074"/>
    <n v="2613"/>
    <x v="0"/>
    <x v="1"/>
  </r>
  <r>
    <n v="7007744171"/>
    <x v="16"/>
    <n v="10146"/>
    <n v="6.78999996185303"/>
    <n v="6.78999996185303"/>
    <n v="0"/>
    <n v="7.0000000298023196E-2"/>
    <n v="0.61000001430511497"/>
    <n v="6.1100001335143999"/>
    <n v="0"/>
    <n v="1"/>
    <n v="12"/>
    <n v="397"/>
    <n v="1030"/>
    <n v="2700"/>
    <x v="0"/>
    <x v="1"/>
  </r>
  <r>
    <n v="7007744171"/>
    <x v="17"/>
    <n v="12168"/>
    <n v="8.1400003433227504"/>
    <n v="8.1400003433227504"/>
    <n v="0"/>
    <n v="1.04999995231628"/>
    <n v="0.79000002145767201"/>
    <n v="6.28999996185303"/>
    <n v="0"/>
    <n v="18"/>
    <n v="27"/>
    <n v="375"/>
    <n v="1020"/>
    <n v="2871"/>
    <x v="0"/>
    <x v="0"/>
  </r>
  <r>
    <n v="7007744171"/>
    <x v="18"/>
    <n v="7413"/>
    <n v="5.7699999809265101"/>
    <n v="4.96000003814697"/>
    <n v="4.8697829246520996"/>
    <n v="4.5"/>
    <n v="0.34000000357627902"/>
    <n v="0.93999999761581399"/>
    <n v="0"/>
    <n v="53"/>
    <n v="6"/>
    <n v="43"/>
    <n v="405"/>
    <n v="1023"/>
    <x v="0"/>
    <x v="0"/>
  </r>
  <r>
    <n v="7086361926"/>
    <x v="7"/>
    <n v="11463"/>
    <n v="7.6700000762939498"/>
    <n v="7.6700000762939498"/>
    <n v="0"/>
    <n v="2.8299999237060498"/>
    <n v="1.8899999856948899"/>
    <n v="2.9300000667571999"/>
    <n v="0"/>
    <n v="38"/>
    <n v="30"/>
    <n v="154"/>
    <n v="777"/>
    <n v="2496"/>
    <x v="0"/>
    <x v="0"/>
  </r>
  <r>
    <n v="7086361926"/>
    <x v="8"/>
    <n v="87"/>
    <n v="1.9999999552965199E-2"/>
    <n v="1.9999999552965199E-2"/>
    <n v="0"/>
    <n v="0"/>
    <n v="0"/>
    <n v="9.9999997764825804E-3"/>
    <n v="0"/>
    <n v="0"/>
    <n v="0"/>
    <n v="2"/>
    <n v="872"/>
    <n v="1641"/>
    <x v="0"/>
    <x v="1"/>
  </r>
  <r>
    <n v="7086361926"/>
    <x v="9"/>
    <n v="1949"/>
    <n v="1.3099999427795399"/>
    <n v="1.3099999427795399"/>
    <n v="0"/>
    <n v="0.230000004172325"/>
    <n v="0.34999999403953602"/>
    <n v="0.730000019073486"/>
    <n v="0"/>
    <n v="3"/>
    <n v="6"/>
    <n v="27"/>
    <n v="1404"/>
    <n v="1794"/>
    <x v="0"/>
    <x v="1"/>
  </r>
  <r>
    <n v="7086361926"/>
    <x v="10"/>
    <n v="6101"/>
    <n v="3.8699998855590798"/>
    <n v="3.8699998855590798"/>
    <n v="0"/>
    <n v="0.52999997138977095"/>
    <n v="0.230000004172325"/>
    <n v="3.0999999046325701"/>
    <n v="0"/>
    <n v="31"/>
    <n v="24"/>
    <n v="138"/>
    <n v="1247"/>
    <n v="2421"/>
    <x v="0"/>
    <x v="0"/>
  </r>
  <r>
    <n v="7086361926"/>
    <x v="11"/>
    <n v="7478"/>
    <n v="4.9899997711181596"/>
    <n v="4.9899997711181596"/>
    <n v="0"/>
    <n v="1.79999995231628"/>
    <n v="0.52999997138977095"/>
    <n v="2.6099998950958301"/>
    <n v="2.9999999329447701E-2"/>
    <n v="25"/>
    <n v="33"/>
    <n v="132"/>
    <n v="1159"/>
    <n v="2439"/>
    <x v="0"/>
    <x v="0"/>
  </r>
  <r>
    <n v="7086361926"/>
    <x v="12"/>
    <n v="7352"/>
    <n v="4.7300000190734899"/>
    <n v="4.7300000190734899"/>
    <n v="0"/>
    <n v="1.4099999666214"/>
    <n v="0.77999997138977095"/>
    <n v="2.5299999713897701"/>
    <n v="0"/>
    <n v="19"/>
    <n v="14"/>
    <n v="124"/>
    <n v="814"/>
    <n v="2233"/>
    <x v="0"/>
    <x v="0"/>
  </r>
  <r>
    <n v="7086361926"/>
    <x v="13"/>
    <n v="14604"/>
    <n v="10.819999694824199"/>
    <n v="10.819999694824199"/>
    <n v="0"/>
    <n v="7.2300000190734899"/>
    <n v="1.12000000476837"/>
    <n v="2.4300000667571999"/>
    <n v="2.9999999329447701E-2"/>
    <n v="76"/>
    <n v="30"/>
    <n v="127"/>
    <n v="695"/>
    <n v="2862"/>
    <x v="0"/>
    <x v="0"/>
  </r>
  <r>
    <n v="7086361926"/>
    <x v="14"/>
    <n v="9634"/>
    <n v="6.5199999809265101"/>
    <n v="6.5199999809265101"/>
    <n v="0"/>
    <n v="2.5"/>
    <n v="1.3999999761581401"/>
    <n v="2.5899999141693102"/>
    <n v="0"/>
    <n v="50"/>
    <n v="48"/>
    <n v="140"/>
    <n v="797"/>
    <n v="2752"/>
    <x v="0"/>
    <x v="0"/>
  </r>
  <r>
    <n v="7086361926"/>
    <x v="15"/>
    <n v="7338"/>
    <n v="4.6700000762939498"/>
    <n v="4.6700000762939498"/>
    <n v="0"/>
    <n v="1.08000004291534"/>
    <n v="0.129999995231628"/>
    <n v="3.46000003814697"/>
    <n v="0"/>
    <n v="27"/>
    <n v="5"/>
    <n v="204"/>
    <n v="717"/>
    <n v="2519"/>
    <x v="0"/>
    <x v="1"/>
  </r>
  <r>
    <n v="7086361926"/>
    <x v="16"/>
    <n v="569"/>
    <n v="0.34999999403953602"/>
    <n v="0.34999999403953602"/>
    <n v="0"/>
    <n v="0"/>
    <n v="0"/>
    <n v="0.34000000357627902"/>
    <n v="0"/>
    <n v="0"/>
    <n v="0"/>
    <n v="27"/>
    <n v="1368"/>
    <n v="1799"/>
    <x v="0"/>
    <x v="1"/>
  </r>
  <r>
    <n v="7086361926"/>
    <x v="17"/>
    <n v="6242"/>
    <n v="3.9200000762939502"/>
    <n v="3.9200000762939502"/>
    <n v="0"/>
    <n v="0.74000000953674305"/>
    <n v="0.230000004172325"/>
    <n v="2.9300000667571999"/>
    <n v="0"/>
    <n v="46"/>
    <n v="22"/>
    <n v="126"/>
    <n v="741"/>
    <n v="2543"/>
    <x v="0"/>
    <x v="0"/>
  </r>
  <r>
    <n v="7086361926"/>
    <x v="18"/>
    <n v="430"/>
    <n v="0.259999990463257"/>
    <n v="0.259999990463257"/>
    <n v="0"/>
    <n v="0"/>
    <n v="0"/>
    <n v="0.259999990463257"/>
    <n v="0"/>
    <n v="0"/>
    <n v="0"/>
    <n v="14"/>
    <n v="75"/>
    <n v="625"/>
    <x v="0"/>
    <x v="0"/>
  </r>
  <r>
    <n v="8053475328"/>
    <x v="8"/>
    <n v="20188"/>
    <n v="15.6199998855591"/>
    <n v="15.6199998855591"/>
    <n v="0"/>
    <n v="12.060000419616699"/>
    <n v="0.85000002384185802"/>
    <n v="2.71000003814697"/>
    <n v="0"/>
    <n v="124"/>
    <n v="19"/>
    <n v="172"/>
    <n v="1125"/>
    <n v="3377"/>
    <x v="0"/>
    <x v="1"/>
  </r>
  <r>
    <n v="8053475328"/>
    <x v="9"/>
    <n v="25701"/>
    <n v="20.139999389648398"/>
    <n v="20.139999389648398"/>
    <n v="0"/>
    <n v="16.819999694824201"/>
    <n v="1.62999999523163"/>
    <n v="1.6900000572204601"/>
    <n v="0"/>
    <n v="165"/>
    <n v="36"/>
    <n v="97"/>
    <n v="1142"/>
    <n v="3697"/>
    <x v="0"/>
    <x v="1"/>
  </r>
  <r>
    <n v="8053475328"/>
    <x v="10"/>
    <n v="17395"/>
    <n v="13.210000038146999"/>
    <n v="13.210000038146999"/>
    <n v="0"/>
    <n v="9.6700000762939506"/>
    <n v="0.18000000715255701"/>
    <n v="3.3499999046325701"/>
    <n v="0"/>
    <n v="100"/>
    <n v="4"/>
    <n v="213"/>
    <n v="1123"/>
    <n v="3209"/>
    <x v="0"/>
    <x v="0"/>
  </r>
  <r>
    <n v="8053475328"/>
    <x v="11"/>
    <n v="17167"/>
    <n v="13.4099998474121"/>
    <n v="13.4099998474121"/>
    <n v="0"/>
    <n v="9.9600000381469709"/>
    <n v="0.31000000238418601"/>
    <n v="3.1400001049041699"/>
    <n v="0"/>
    <n v="98"/>
    <n v="8"/>
    <n v="184"/>
    <n v="1150"/>
    <n v="3167"/>
    <x v="0"/>
    <x v="0"/>
  </r>
  <r>
    <n v="8053475328"/>
    <x v="12"/>
    <n v="16435"/>
    <n v="12.420000076293899"/>
    <n v="12.420000076293899"/>
    <n v="0"/>
    <n v="8.9600000381469709"/>
    <n v="0.55000001192092896"/>
    <n v="2.9100000858306898"/>
    <n v="0"/>
    <n v="100"/>
    <n v="14"/>
    <n v="191"/>
    <n v="1135"/>
    <n v="3122"/>
    <x v="0"/>
    <x v="0"/>
  </r>
  <r>
    <n v="8053475328"/>
    <x v="13"/>
    <n v="17078"/>
    <n v="13.199999809265099"/>
    <n v="13.199999809265099"/>
    <n v="0"/>
    <n v="9.9700002670288104"/>
    <n v="0.239999994635582"/>
    <n v="2.9900000095367401"/>
    <n v="0"/>
    <n v="101"/>
    <n v="6"/>
    <n v="190"/>
    <n v="1143"/>
    <n v="3176"/>
    <x v="0"/>
    <x v="0"/>
  </r>
  <r>
    <n v="8053475328"/>
    <x v="14"/>
    <n v="11693"/>
    <n v="9.5399999618530291"/>
    <n v="9.5399999618530291"/>
    <n v="0"/>
    <n v="6.7699999809265101"/>
    <n v="0.259999990463257"/>
    <n v="2.5"/>
    <n v="0"/>
    <n v="60"/>
    <n v="6"/>
    <n v="153"/>
    <n v="1221"/>
    <n v="2790"/>
    <x v="0"/>
    <x v="0"/>
  </r>
  <r>
    <n v="8053475328"/>
    <x v="15"/>
    <n v="11159"/>
    <n v="9.1400003433227504"/>
    <n v="9.1400003433227504"/>
    <n v="0"/>
    <n v="6.6900000572204599"/>
    <n v="0.25"/>
    <n v="2.1900000572204599"/>
    <n v="0"/>
    <n v="59"/>
    <n v="6"/>
    <n v="120"/>
    <n v="1255"/>
    <n v="2715"/>
    <x v="0"/>
    <x v="1"/>
  </r>
  <r>
    <n v="8053475328"/>
    <x v="16"/>
    <n v="10118"/>
    <n v="7.7300000190734899"/>
    <n v="7.7300000190734899"/>
    <n v="0"/>
    <n v="3.0499999523162802"/>
    <n v="0.80000001192092896"/>
    <n v="3.8800001144409202"/>
    <n v="0"/>
    <n v="30"/>
    <n v="18"/>
    <n v="207"/>
    <n v="1185"/>
    <n v="2684"/>
    <x v="0"/>
    <x v="1"/>
  </r>
  <r>
    <n v="8053475328"/>
    <x v="17"/>
    <n v="16064"/>
    <n v="12.7200002670288"/>
    <n v="12.7200002670288"/>
    <n v="0"/>
    <n v="9.9799995422363299"/>
    <n v="0.36000001430511502"/>
    <n v="2.3800001144409202"/>
    <n v="0"/>
    <n v="96"/>
    <n v="8"/>
    <n v="155"/>
    <n v="1181"/>
    <n v="3097"/>
    <x v="0"/>
    <x v="0"/>
  </r>
  <r>
    <n v="8053475328"/>
    <x v="18"/>
    <n v="290"/>
    <n v="0.20999999344348899"/>
    <n v="0.20999999344348899"/>
    <n v="0"/>
    <n v="0"/>
    <n v="0"/>
    <n v="0.20999999344348899"/>
    <n v="0"/>
    <n v="0"/>
    <n v="0"/>
    <n v="16"/>
    <n v="599"/>
    <n v="791"/>
    <x v="0"/>
    <x v="0"/>
  </r>
  <r>
    <n v="8253242879"/>
    <x v="7"/>
    <n v="0"/>
    <n v="0"/>
    <n v="0"/>
    <n v="0"/>
    <n v="0"/>
    <n v="0"/>
    <n v="0"/>
    <n v="0"/>
    <n v="0"/>
    <n v="0"/>
    <n v="0"/>
    <n v="1440"/>
    <n v="1429"/>
    <x v="0"/>
    <x v="0"/>
  </r>
  <r>
    <n v="8253242879"/>
    <x v="8"/>
    <n v="0"/>
    <n v="0"/>
    <n v="0"/>
    <n v="0"/>
    <n v="0"/>
    <n v="0"/>
    <n v="0"/>
    <n v="0"/>
    <n v="0"/>
    <n v="0"/>
    <n v="0"/>
    <n v="1440"/>
    <n v="1429"/>
    <x v="0"/>
    <x v="1"/>
  </r>
  <r>
    <n v="8253242879"/>
    <x v="9"/>
    <n v="0"/>
    <n v="0"/>
    <n v="0"/>
    <n v="0"/>
    <n v="0"/>
    <n v="0"/>
    <n v="0"/>
    <n v="0"/>
    <n v="0"/>
    <n v="0"/>
    <n v="0"/>
    <n v="1440"/>
    <n v="1429"/>
    <x v="0"/>
    <x v="1"/>
  </r>
  <r>
    <n v="8253242879"/>
    <x v="10"/>
    <n v="0"/>
    <n v="0"/>
    <n v="0"/>
    <n v="0"/>
    <n v="0"/>
    <n v="0"/>
    <n v="0"/>
    <n v="0"/>
    <n v="0"/>
    <n v="0"/>
    <n v="0"/>
    <n v="1440"/>
    <n v="1429"/>
    <x v="0"/>
    <x v="0"/>
  </r>
  <r>
    <n v="8253242879"/>
    <x v="11"/>
    <n v="0"/>
    <n v="0"/>
    <n v="0"/>
    <n v="0"/>
    <n v="0"/>
    <n v="0"/>
    <n v="0"/>
    <n v="0"/>
    <n v="0"/>
    <n v="0"/>
    <n v="0"/>
    <n v="1440"/>
    <n v="1429"/>
    <x v="0"/>
    <x v="0"/>
  </r>
  <r>
    <n v="8253242879"/>
    <x v="12"/>
    <n v="1931"/>
    <n v="1.2799999713897701"/>
    <n v="1.2799999713897701"/>
    <n v="0"/>
    <n v="0"/>
    <n v="0"/>
    <n v="1.2799999713897701"/>
    <n v="0"/>
    <n v="0"/>
    <n v="0"/>
    <n v="94"/>
    <n v="1346"/>
    <n v="1607"/>
    <x v="0"/>
    <x v="0"/>
  </r>
  <r>
    <n v="8253242879"/>
    <x v="13"/>
    <n v="5181"/>
    <n v="3.4200000762939502"/>
    <n v="3.4200000762939502"/>
    <n v="0"/>
    <n v="1"/>
    <n v="0.91000002622604403"/>
    <n v="1.5099999904632599"/>
    <n v="9.9999997764825804E-3"/>
    <n v="15"/>
    <n v="15"/>
    <n v="107"/>
    <n v="1303"/>
    <n v="1776"/>
    <x v="0"/>
    <x v="0"/>
  </r>
  <r>
    <n v="8253242879"/>
    <x v="14"/>
    <n v="12026"/>
    <n v="9.1499996185302699"/>
    <n v="9.1499996185302699"/>
    <n v="0"/>
    <n v="5.6999998092651403"/>
    <n v="0.93000000715255704"/>
    <n v="2.5099999904632599"/>
    <n v="0"/>
    <n v="47"/>
    <n v="13"/>
    <n v="150"/>
    <n v="1230"/>
    <n v="2162"/>
    <x v="0"/>
    <x v="0"/>
  </r>
  <r>
    <n v="8253242879"/>
    <x v="15"/>
    <n v="5360"/>
    <n v="3.53999996185303"/>
    <n v="3.53999996185303"/>
    <n v="0"/>
    <n v="0.54000002145767201"/>
    <n v="1.54999995231628"/>
    <n v="1.46000003814697"/>
    <n v="0"/>
    <n v="8"/>
    <n v="28"/>
    <n v="148"/>
    <n v="1256"/>
    <n v="1832"/>
    <x v="0"/>
    <x v="1"/>
  </r>
  <r>
    <n v="8253242879"/>
    <x v="16"/>
    <n v="2545"/>
    <n v="1.6799999475479099"/>
    <n v="1.6799999475479099"/>
    <n v="0"/>
    <n v="0"/>
    <n v="0"/>
    <n v="1.66999995708466"/>
    <n v="1.9999999552965199E-2"/>
    <n v="0"/>
    <n v="0"/>
    <n v="126"/>
    <n v="1314"/>
    <n v="1657"/>
    <x v="0"/>
    <x v="1"/>
  </r>
  <r>
    <n v="8253242879"/>
    <x v="17"/>
    <n v="1636"/>
    <n v="1.08000004291534"/>
    <n v="1.08000004291534"/>
    <n v="0"/>
    <n v="0"/>
    <n v="0"/>
    <n v="1.08000004291534"/>
    <n v="0"/>
    <n v="0"/>
    <n v="0"/>
    <n v="86"/>
    <n v="1139"/>
    <n v="1377"/>
    <x v="0"/>
    <x v="0"/>
  </r>
  <r>
    <n v="8253242879"/>
    <x v="18"/>
    <n v="0"/>
    <n v="0"/>
    <n v="0"/>
    <n v="0"/>
    <n v="0"/>
    <n v="0"/>
    <n v="0"/>
    <n v="0"/>
    <n v="0"/>
    <n v="0"/>
    <n v="0"/>
    <n v="1440"/>
    <n v="0"/>
    <x v="0"/>
    <x v="0"/>
  </r>
  <r>
    <n v="8378563200"/>
    <x v="7"/>
    <n v="14179"/>
    <n v="11.2399997711182"/>
    <n v="11.2399997711182"/>
    <n v="0"/>
    <n v="6.2300000190734899"/>
    <n v="1.0599999427795399"/>
    <n v="3.96000003814697"/>
    <n v="0"/>
    <n v="73"/>
    <n v="21"/>
    <n v="195"/>
    <n v="719"/>
    <n v="3669"/>
    <x v="0"/>
    <x v="0"/>
  </r>
  <r>
    <n v="8378563200"/>
    <x v="8"/>
    <n v="3358"/>
    <n v="2.6600000858306898"/>
    <n v="2.6600000858306898"/>
    <n v="0"/>
    <n v="0"/>
    <n v="0"/>
    <n v="2.6600000858306898"/>
    <n v="0"/>
    <n v="0"/>
    <n v="0"/>
    <n v="144"/>
    <n v="657"/>
    <n v="2702"/>
    <x v="0"/>
    <x v="1"/>
  </r>
  <r>
    <n v="8378563200"/>
    <x v="9"/>
    <n v="9152"/>
    <n v="7.2600002288818404"/>
    <n v="7.2600002288818404"/>
    <n v="0"/>
    <n v="1.9900000095367401"/>
    <n v="0.81999999284744296"/>
    <n v="4.4499998092651403"/>
    <n v="0"/>
    <n v="25"/>
    <n v="13"/>
    <n v="243"/>
    <n v="600"/>
    <n v="3304"/>
    <x v="0"/>
    <x v="1"/>
  </r>
  <r>
    <n v="8378563200"/>
    <x v="10"/>
    <n v="13935"/>
    <n v="11.050000190734901"/>
    <n v="11.050000190734901"/>
    <n v="2.0921471118927002"/>
    <n v="4.0900001525878897"/>
    <n v="0.79000002145767201"/>
    <n v="6.1700000762939498"/>
    <n v="0"/>
    <n v="105"/>
    <n v="16"/>
    <n v="220"/>
    <n v="658"/>
    <n v="4234"/>
    <x v="0"/>
    <x v="0"/>
  </r>
  <r>
    <n v="8378563200"/>
    <x v="11"/>
    <n v="12846"/>
    <n v="10.189999580383301"/>
    <n v="10.189999580383301"/>
    <n v="2.2530810832977299"/>
    <n v="5"/>
    <n v="0.75"/>
    <n v="4.4400000572204599"/>
    <n v="0"/>
    <n v="113"/>
    <n v="15"/>
    <n v="189"/>
    <n v="686"/>
    <n v="4128"/>
    <x v="0"/>
    <x v="0"/>
  </r>
  <r>
    <n v="8378563200"/>
    <x v="12"/>
    <n v="9124"/>
    <n v="7.2399997711181596"/>
    <n v="7.2399997711181596"/>
    <n v="2.0921471118927002"/>
    <n v="0"/>
    <n v="0.25"/>
    <n v="6.9899997711181596"/>
    <n v="0"/>
    <n v="55"/>
    <n v="6"/>
    <n v="230"/>
    <n v="728"/>
    <n v="3798"/>
    <x v="0"/>
    <x v="0"/>
  </r>
  <r>
    <n v="8378563200"/>
    <x v="13"/>
    <n v="9725"/>
    <n v="7.71000003814697"/>
    <n v="7.71000003814697"/>
    <n v="2.2530810832977299"/>
    <n v="2.4100000858306898"/>
    <n v="0.52999997138977095"/>
    <n v="4.7699999809265101"/>
    <n v="0"/>
    <n v="83"/>
    <n v="11"/>
    <n v="181"/>
    <n v="670"/>
    <n v="3839"/>
    <x v="0"/>
    <x v="0"/>
  </r>
  <r>
    <n v="8378563200"/>
    <x v="14"/>
    <n v="8350"/>
    <n v="6.6199998855590803"/>
    <n v="6.6199998855590803"/>
    <n v="2.0921471118927002"/>
    <n v="1.4900000095367401"/>
    <n v="0.52999997138977095"/>
    <n v="4.6100001335143999"/>
    <n v="0"/>
    <n v="72"/>
    <n v="10"/>
    <n v="167"/>
    <n v="868"/>
    <n v="3713"/>
    <x v="0"/>
    <x v="0"/>
  </r>
  <r>
    <n v="8378563200"/>
    <x v="15"/>
    <n v="2240"/>
    <n v="1.7799999713897701"/>
    <n v="1.7799999713897701"/>
    <n v="0"/>
    <n v="0"/>
    <n v="0"/>
    <n v="1.7799999713897701"/>
    <n v="0"/>
    <n v="0"/>
    <n v="0"/>
    <n v="110"/>
    <n v="843"/>
    <n v="2606"/>
    <x v="0"/>
    <x v="1"/>
  </r>
  <r>
    <n v="8378563200"/>
    <x v="16"/>
    <n v="2631"/>
    <n v="2.0899999141693102"/>
    <n v="2.0899999141693102"/>
    <n v="0"/>
    <n v="0"/>
    <n v="0"/>
    <n v="2.0899999141693102"/>
    <n v="0"/>
    <n v="0"/>
    <n v="0"/>
    <n v="117"/>
    <n v="727"/>
    <n v="2624"/>
    <x v="0"/>
    <x v="1"/>
  </r>
  <r>
    <n v="8378563200"/>
    <x v="17"/>
    <n v="8837"/>
    <n v="7.0100002288818404"/>
    <n v="7.0100002288818404"/>
    <n v="2.0921471118927002"/>
    <n v="1.53999996185303"/>
    <n v="0.87999999523162797"/>
    <n v="4.5900001525878897"/>
    <n v="0"/>
    <n v="74"/>
    <n v="17"/>
    <n v="182"/>
    <n v="811"/>
    <n v="3775"/>
    <x v="0"/>
    <x v="0"/>
  </r>
  <r>
    <n v="8378563200"/>
    <x v="18"/>
    <n v="3246"/>
    <n v="2.5699999332428001"/>
    <n v="2.5699999332428001"/>
    <n v="2.2530810832977299"/>
    <n v="0.82999998331069902"/>
    <n v="0.70999997854232799"/>
    <n v="1.0299999713897701"/>
    <n v="0"/>
    <n v="65"/>
    <n v="15"/>
    <n v="49"/>
    <n v="243"/>
    <n v="1882"/>
    <x v="0"/>
    <x v="0"/>
  </r>
  <r>
    <n v="8583815059"/>
    <x v="7"/>
    <n v="2174"/>
    <n v="1.70000004768372"/>
    <n v="1.70000004768372"/>
    <n v="0"/>
    <n v="0"/>
    <n v="0"/>
    <n v="1.70000004768372"/>
    <n v="0"/>
    <n v="0"/>
    <n v="0"/>
    <n v="112"/>
    <n v="1328"/>
    <n v="2360"/>
    <x v="0"/>
    <x v="0"/>
  </r>
  <r>
    <n v="8583815059"/>
    <x v="8"/>
    <n v="3494"/>
    <n v="2.7300000190734899"/>
    <n v="2.7300000190734899"/>
    <n v="0"/>
    <n v="0"/>
    <n v="0"/>
    <n v="2.6900000572204599"/>
    <n v="0"/>
    <n v="0"/>
    <n v="0"/>
    <n v="166"/>
    <n v="1274"/>
    <n v="2517"/>
    <x v="0"/>
    <x v="1"/>
  </r>
  <r>
    <n v="8583815059"/>
    <x v="9"/>
    <n v="2380"/>
    <n v="1.8600000143051101"/>
    <n v="1.8600000143051101"/>
    <n v="0"/>
    <n v="0"/>
    <n v="0"/>
    <n v="1.8600000143051101"/>
    <n v="0"/>
    <n v="0"/>
    <n v="0"/>
    <n v="131"/>
    <n v="1309"/>
    <n v="2400"/>
    <x v="0"/>
    <x v="1"/>
  </r>
  <r>
    <n v="8583815059"/>
    <x v="10"/>
    <n v="3159"/>
    <n v="2.46000003814697"/>
    <n v="2.46000003814697"/>
    <n v="0"/>
    <n v="0"/>
    <n v="0"/>
    <n v="2.46000003814697"/>
    <n v="0"/>
    <n v="0"/>
    <n v="0"/>
    <n v="147"/>
    <n v="1293"/>
    <n v="2462"/>
    <x v="0"/>
    <x v="0"/>
  </r>
  <r>
    <n v="8583815059"/>
    <x v="11"/>
    <n v="6835"/>
    <n v="5.3299999237060502"/>
    <n v="5.3299999237060502"/>
    <n v="0"/>
    <n v="0.37000000476837203"/>
    <n v="0.730000019073486"/>
    <n v="4.2399997711181596"/>
    <n v="0"/>
    <n v="5"/>
    <n v="15"/>
    <n v="212"/>
    <n v="1208"/>
    <n v="2786"/>
    <x v="0"/>
    <x v="0"/>
  </r>
  <r>
    <n v="8583815059"/>
    <x v="12"/>
    <n v="2098"/>
    <n v="1.6399999856948899"/>
    <n v="1.6399999856948899"/>
    <n v="0"/>
    <n v="0"/>
    <n v="0"/>
    <n v="1.62999999523163"/>
    <n v="0"/>
    <n v="0"/>
    <n v="0"/>
    <n v="112"/>
    <n v="1328"/>
    <n v="2354"/>
    <x v="0"/>
    <x v="0"/>
  </r>
  <r>
    <n v="8583815059"/>
    <x v="13"/>
    <n v="2816"/>
    <n v="2.2000000476837198"/>
    <n v="2.2000000476837198"/>
    <n v="0"/>
    <n v="0"/>
    <n v="0"/>
    <n v="2.2000000476837198"/>
    <n v="0"/>
    <n v="0"/>
    <n v="0"/>
    <n v="138"/>
    <n v="1302"/>
    <n v="2437"/>
    <x v="0"/>
    <x v="0"/>
  </r>
  <r>
    <n v="8583815059"/>
    <x v="14"/>
    <n v="1408"/>
    <n v="1.1000000238418599"/>
    <n v="1.1000000238418599"/>
    <n v="0"/>
    <n v="0"/>
    <n v="0"/>
    <n v="1.1000000238418599"/>
    <n v="0"/>
    <n v="0"/>
    <n v="0"/>
    <n v="79"/>
    <n v="1052"/>
    <n v="1814"/>
    <x v="0"/>
    <x v="0"/>
  </r>
  <r>
    <n v="8792009665"/>
    <x v="7"/>
    <n v="4592"/>
    <n v="2.9400000572204599"/>
    <n v="2.9400000572204599"/>
    <n v="0"/>
    <n v="0.10000000149011599"/>
    <n v="0.140000000596046"/>
    <n v="2.7000000476837198"/>
    <n v="0"/>
    <n v="4"/>
    <n v="8"/>
    <n v="176"/>
    <n v="748"/>
    <n v="2260"/>
    <x v="0"/>
    <x v="0"/>
  </r>
  <r>
    <n v="8792009665"/>
    <x v="8"/>
    <n v="8452"/>
    <n v="5.4099998474121103"/>
    <n v="5.4099998474121103"/>
    <n v="0"/>
    <n v="0.259999990463257"/>
    <n v="0.38999998569488498"/>
    <n v="4.7600002288818404"/>
    <n v="0"/>
    <n v="9"/>
    <n v="24"/>
    <n v="328"/>
    <n v="1079"/>
    <n v="3004"/>
    <x v="0"/>
    <x v="1"/>
  </r>
  <r>
    <n v="8792009665"/>
    <x v="9"/>
    <n v="7238"/>
    <n v="4.6300001144409197"/>
    <n v="4.6300001144409197"/>
    <n v="0"/>
    <n v="0.109999999403954"/>
    <n v="0.230000004172325"/>
    <n v="4.28999996185303"/>
    <n v="0"/>
    <n v="2"/>
    <n v="6"/>
    <n v="279"/>
    <n v="636"/>
    <n v="2667"/>
    <x v="0"/>
    <x v="1"/>
  </r>
  <r>
    <n v="8792009665"/>
    <x v="10"/>
    <n v="3821"/>
    <n v="2.4500000476837198"/>
    <n v="2.4500000476837198"/>
    <n v="0"/>
    <n v="0"/>
    <n v="0.21999999880790699"/>
    <n v="2.2300000190734899"/>
    <n v="0"/>
    <n v="0"/>
    <n v="9"/>
    <n v="161"/>
    <n v="675"/>
    <n v="2229"/>
    <x v="0"/>
    <x v="0"/>
  </r>
  <r>
    <n v="8792009665"/>
    <x v="11"/>
    <n v="2332"/>
    <n v="1.4900000095367401"/>
    <n v="1.4900000095367401"/>
    <n v="0"/>
    <n v="9.9999997764825804E-3"/>
    <n v="0.18000000715255701"/>
    <n v="1.29999995231628"/>
    <n v="0"/>
    <n v="1"/>
    <n v="10"/>
    <n v="111"/>
    <n v="904"/>
    <n v="2100"/>
    <x v="0"/>
    <x v="0"/>
  </r>
  <r>
    <n v="8792009665"/>
    <x v="12"/>
    <n v="2121"/>
    <n v="1.3600000143051101"/>
    <n v="1.3600000143051101"/>
    <n v="0"/>
    <n v="0"/>
    <n v="0"/>
    <n v="1.3600000143051101"/>
    <n v="0"/>
    <n v="0"/>
    <n v="0"/>
    <n v="122"/>
    <n v="855"/>
    <n v="2114"/>
    <x v="0"/>
    <x v="0"/>
  </r>
  <r>
    <n v="8792009665"/>
    <x v="13"/>
    <n v="1291"/>
    <n v="0.82999998331069902"/>
    <n v="0.82999998331069902"/>
    <n v="0"/>
    <n v="0"/>
    <n v="0"/>
    <n v="0.82999998331069902"/>
    <n v="0"/>
    <n v="0"/>
    <n v="0"/>
    <n v="77"/>
    <n v="888"/>
    <n v="1961"/>
    <x v="0"/>
    <x v="0"/>
  </r>
  <r>
    <n v="8792009665"/>
    <x v="14"/>
    <n v="1467"/>
    <n v="0.93999999761581399"/>
    <n v="0.93999999761581399"/>
    <n v="0"/>
    <n v="0.10000000149011599"/>
    <n v="0.20999999344348899"/>
    <n v="0.62999999523162797"/>
    <n v="0"/>
    <n v="2"/>
    <n v="8"/>
    <n v="71"/>
    <n v="912"/>
    <n v="1953"/>
    <x v="0"/>
    <x v="0"/>
  </r>
  <r>
    <n v="8792009665"/>
    <x v="15"/>
    <n v="1022"/>
    <n v="0.64999997615814198"/>
    <n v="0.64999997615814198"/>
    <n v="0"/>
    <n v="0"/>
    <n v="0"/>
    <n v="0.64999997615814198"/>
    <n v="0"/>
    <n v="0"/>
    <n v="0"/>
    <n v="63"/>
    <n v="739"/>
    <n v="1890"/>
    <x v="0"/>
    <x v="1"/>
  </r>
  <r>
    <n v="8792009665"/>
    <x v="16"/>
    <n v="4605"/>
    <n v="2.9500000476837198"/>
    <n v="2.9500000476837198"/>
    <n v="0"/>
    <n v="0"/>
    <n v="0"/>
    <n v="2.9500000476837198"/>
    <n v="0"/>
    <n v="0"/>
    <n v="0"/>
    <n v="179"/>
    <n v="1261"/>
    <n v="2253"/>
    <x v="0"/>
    <x v="1"/>
  </r>
  <r>
    <n v="8792009665"/>
    <x v="17"/>
    <n v="178"/>
    <n v="0.109999999403954"/>
    <n v="0.109999999403954"/>
    <n v="0"/>
    <n v="0"/>
    <n v="0"/>
    <n v="0.109999999403954"/>
    <n v="0"/>
    <n v="0"/>
    <n v="0"/>
    <n v="12"/>
    <n v="1428"/>
    <n v="1725"/>
    <x v="0"/>
    <x v="0"/>
  </r>
  <r>
    <n v="8792009665"/>
    <x v="18"/>
    <n v="20"/>
    <n v="9.9999997764825804E-3"/>
    <n v="9.9999997764825804E-3"/>
    <n v="0"/>
    <n v="0"/>
    <n v="0"/>
    <n v="9.9999997764825804E-3"/>
    <n v="0"/>
    <n v="0"/>
    <n v="0"/>
    <n v="6"/>
    <n v="598"/>
    <n v="728"/>
    <x v="0"/>
    <x v="0"/>
  </r>
  <r>
    <n v="8877689391"/>
    <x v="7"/>
    <n v="18700"/>
    <n v="15.819999694824199"/>
    <n v="15.819999694824199"/>
    <n v="0"/>
    <n v="8.6999998092651403"/>
    <n v="0.15999999642372101"/>
    <n v="6.9099998474121103"/>
    <n v="0"/>
    <n v="67"/>
    <n v="3"/>
    <n v="247"/>
    <n v="1123"/>
    <n v="3527"/>
    <x v="0"/>
    <x v="0"/>
  </r>
  <r>
    <n v="8877689391"/>
    <x v="8"/>
    <n v="27572"/>
    <n v="23.389999389648398"/>
    <n v="23.389999389648398"/>
    <n v="0"/>
    <n v="14.7200002670288"/>
    <n v="1.21000003814697"/>
    <n v="7.3400001525878897"/>
    <n v="9.9999997764825804E-3"/>
    <n v="116"/>
    <n v="24"/>
    <n v="260"/>
    <n v="1040"/>
    <n v="4220"/>
    <x v="0"/>
    <x v="1"/>
  </r>
  <r>
    <n v="8877689391"/>
    <x v="9"/>
    <n v="15260"/>
    <n v="8.1899995803833008"/>
    <n v="8.1899995803833008"/>
    <n v="0"/>
    <n v="1.79999995231628"/>
    <n v="0.75"/>
    <n v="5.5700001716613796"/>
    <n v="0"/>
    <n v="106"/>
    <n v="17"/>
    <n v="259"/>
    <n v="1058"/>
    <n v="3864"/>
    <x v="0"/>
    <x v="1"/>
  </r>
  <r>
    <n v="8877689391"/>
    <x v="10"/>
    <n v="20779"/>
    <n v="18.409999847412099"/>
    <n v="18.409999847412099"/>
    <n v="0"/>
    <n v="11.7299995422363"/>
    <n v="0.64999997615814198"/>
    <n v="6"/>
    <n v="0"/>
    <n v="78"/>
    <n v="16"/>
    <n v="208"/>
    <n v="1138"/>
    <n v="3662"/>
    <x v="0"/>
    <x v="0"/>
  </r>
  <r>
    <n v="8877689391"/>
    <x v="11"/>
    <n v="10695"/>
    <n v="8.1199998855590803"/>
    <n v="8.1199998855590803"/>
    <n v="0"/>
    <n v="0.769999980926514"/>
    <n v="0.18000000715255701"/>
    <n v="7.0900001525878897"/>
    <n v="9.9999997764825804E-3"/>
    <n v="10"/>
    <n v="3"/>
    <n v="246"/>
    <n v="1181"/>
    <n v="2834"/>
    <x v="0"/>
    <x v="0"/>
  </r>
  <r>
    <n v="8877689391"/>
    <x v="12"/>
    <n v="24136"/>
    <n v="20.909999847412099"/>
    <n v="20.909999847412099"/>
    <n v="0"/>
    <n v="12.2200002670288"/>
    <n v="0.54000002145767201"/>
    <n v="8.0799999237060494"/>
    <n v="0"/>
    <n v="87"/>
    <n v="16"/>
    <n v="318"/>
    <n v="1019"/>
    <n v="4039"/>
    <x v="0"/>
    <x v="0"/>
  </r>
  <r>
    <n v="8877689391"/>
    <x v="13"/>
    <n v="10910"/>
    <n v="8.4200000762939506"/>
    <n v="8.4200000762939506"/>
    <n v="0"/>
    <n v="2.96000003814697"/>
    <n v="0.38999998569488498"/>
    <n v="5.0300002098083496"/>
    <n v="0"/>
    <n v="32"/>
    <n v="11"/>
    <n v="212"/>
    <n v="1185"/>
    <n v="2947"/>
    <x v="0"/>
    <x v="0"/>
  </r>
  <r>
    <n v="8877689391"/>
    <x v="14"/>
    <n v="23014"/>
    <n v="20.389999389648398"/>
    <n v="20.389999389648398"/>
    <n v="0"/>
    <n v="11.1000003814697"/>
    <n v="0.62999999523162797"/>
    <n v="8.6199998855590803"/>
    <n v="0"/>
    <n v="70"/>
    <n v="29"/>
    <n v="359"/>
    <n v="982"/>
    <n v="4196"/>
    <x v="0"/>
    <x v="0"/>
  </r>
  <r>
    <n v="8877689391"/>
    <x v="15"/>
    <n v="16470"/>
    <n v="8.0699996948242205"/>
    <n v="8.0699996948242205"/>
    <n v="0"/>
    <n v="0"/>
    <n v="1.9999999552965199E-2"/>
    <n v="8.0200004577636701"/>
    <n v="0"/>
    <n v="90"/>
    <n v="9"/>
    <n v="289"/>
    <n v="1052"/>
    <n v="3841"/>
    <x v="0"/>
    <x v="1"/>
  </r>
  <r>
    <n v="8877689391"/>
    <x v="16"/>
    <n v="28497"/>
    <n v="27.530000686645501"/>
    <n v="27.530000686645501"/>
    <n v="0"/>
    <n v="21.920000076293899"/>
    <n v="1.12000000476837"/>
    <n v="4.46000003814697"/>
    <n v="0"/>
    <n v="128"/>
    <n v="46"/>
    <n v="211"/>
    <n v="1055"/>
    <n v="4526"/>
    <x v="0"/>
    <x v="1"/>
  </r>
  <r>
    <n v="8877689391"/>
    <x v="17"/>
    <n v="10622"/>
    <n v="8.0600004196166992"/>
    <n v="8.0600004196166992"/>
    <n v="0"/>
    <n v="1.4700000286102299"/>
    <n v="0.15000000596046401"/>
    <n v="6.3699998855590803"/>
    <n v="9.9999997764825804E-3"/>
    <n v="18"/>
    <n v="7"/>
    <n v="225"/>
    <n v="1190"/>
    <n v="2820"/>
    <x v="0"/>
    <x v="0"/>
  </r>
  <r>
    <n v="8877689391"/>
    <x v="18"/>
    <n v="2350"/>
    <n v="1.7799999713897701"/>
    <n v="1.7799999713897701"/>
    <n v="0"/>
    <n v="0"/>
    <n v="0"/>
    <n v="1.7799999713897701"/>
    <n v="0"/>
    <n v="0"/>
    <n v="0"/>
    <n v="58"/>
    <n v="531"/>
    <n v="938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x v="0"/>
    <n v="11004"/>
    <n v="7.1100001335143999"/>
    <n v="7.1100001335143999"/>
    <n v="0"/>
    <n v="2.5699999332428001"/>
    <n v="0.46000000834464999"/>
    <n v="4.0700001716613796"/>
    <n v="0"/>
    <n v="33"/>
    <n v="12"/>
    <n v="205"/>
    <n v="804"/>
    <n v="1819"/>
    <x v="0"/>
  </r>
  <r>
    <x v="0"/>
    <x v="1"/>
    <n v="17609"/>
    <n v="11.550000190734901"/>
    <n v="11.550000190734901"/>
    <n v="0"/>
    <n v="6.9200000762939498"/>
    <n v="0.730000019073486"/>
    <n v="3.9100000858306898"/>
    <n v="0"/>
    <n v="89"/>
    <n v="17"/>
    <n v="274"/>
    <n v="588"/>
    <n v="2154"/>
    <x v="0"/>
  </r>
  <r>
    <x v="0"/>
    <x v="2"/>
    <n v="12736"/>
    <n v="8.5299997329711896"/>
    <n v="8.5299997329711896"/>
    <n v="0"/>
    <n v="4.6599998474121103"/>
    <n v="0.15999999642372101"/>
    <n v="3.71000003814697"/>
    <n v="0"/>
    <n v="56"/>
    <n v="5"/>
    <n v="268"/>
    <n v="605"/>
    <n v="1944"/>
    <x v="0"/>
  </r>
  <r>
    <x v="0"/>
    <x v="3"/>
    <n v="13231"/>
    <n v="8.9300003051757795"/>
    <n v="8.9300003051757795"/>
    <n v="0"/>
    <n v="3.1900000572204599"/>
    <n v="0.79000002145767201"/>
    <n v="4.9499998092651403"/>
    <n v="0"/>
    <n v="39"/>
    <n v="20"/>
    <n v="224"/>
    <n v="1080"/>
    <n v="1932"/>
    <x v="0"/>
  </r>
  <r>
    <x v="0"/>
    <x v="4"/>
    <n v="12041"/>
    <n v="7.8499999046325701"/>
    <n v="7.8499999046325701"/>
    <n v="0"/>
    <n v="2.1600000858306898"/>
    <n v="1.0900000333786"/>
    <n v="4.6100001335143999"/>
    <n v="0"/>
    <n v="28"/>
    <n v="28"/>
    <n v="243"/>
    <n v="763"/>
    <n v="1886"/>
    <x v="0"/>
  </r>
  <r>
    <x v="0"/>
    <x v="5"/>
    <n v="10970"/>
    <n v="7.1599998474121103"/>
    <n v="7.1599998474121103"/>
    <n v="0"/>
    <n v="2.3599998950958301"/>
    <n v="0.50999999046325695"/>
    <n v="4.28999996185303"/>
    <n v="0"/>
    <n v="30"/>
    <n v="13"/>
    <n v="223"/>
    <n v="1174"/>
    <n v="1820"/>
    <x v="0"/>
  </r>
  <r>
    <x v="0"/>
    <x v="6"/>
    <n v="12256"/>
    <n v="7.8600001335143999"/>
    <n v="7.8600001335143999"/>
    <n v="0"/>
    <n v="2.28999996185303"/>
    <n v="0.490000009536743"/>
    <n v="5.03999996185303"/>
    <n v="0"/>
    <n v="33"/>
    <n v="12"/>
    <n v="239"/>
    <n v="820"/>
    <n v="1889"/>
    <x v="0"/>
  </r>
  <r>
    <x v="0"/>
    <x v="7"/>
    <n v="12262"/>
    <n v="7.8699998855590803"/>
    <n v="7.8699998855590803"/>
    <n v="0"/>
    <n v="3.3199999332428001"/>
    <n v="0.82999998331069902"/>
    <n v="3.6400001049041699"/>
    <n v="0"/>
    <n v="47"/>
    <n v="21"/>
    <n v="200"/>
    <n v="866"/>
    <n v="1868"/>
    <x v="0"/>
  </r>
  <r>
    <x v="0"/>
    <x v="8"/>
    <n v="11248"/>
    <n v="7.25"/>
    <n v="7.25"/>
    <n v="0"/>
    <n v="3"/>
    <n v="0.44999998807907099"/>
    <n v="3.7400000095367401"/>
    <n v="0"/>
    <n v="40"/>
    <n v="11"/>
    <n v="244"/>
    <n v="636"/>
    <n v="1843"/>
    <x v="0"/>
  </r>
  <r>
    <x v="0"/>
    <x v="9"/>
    <n v="10016"/>
    <n v="6.3699998855590803"/>
    <n v="6.3699998855590803"/>
    <n v="0"/>
    <n v="0.91000002622604403"/>
    <n v="1.2799999713897701"/>
    <n v="4.1799998283386204"/>
    <n v="0"/>
    <n v="15"/>
    <n v="30"/>
    <n v="314"/>
    <n v="655"/>
    <n v="1850"/>
    <x v="0"/>
  </r>
  <r>
    <x v="0"/>
    <x v="10"/>
    <n v="14557"/>
    <n v="9.8000001907348597"/>
    <n v="9.8000001907348597"/>
    <n v="0"/>
    <n v="3.3900001049041699"/>
    <n v="0.69999998807907104"/>
    <n v="5.6900000572204599"/>
    <n v="0"/>
    <n v="43"/>
    <n v="18"/>
    <n v="285"/>
    <n v="757"/>
    <n v="2030"/>
    <x v="0"/>
  </r>
  <r>
    <x v="0"/>
    <x v="11"/>
    <n v="14844"/>
    <n v="9.7299995422363299"/>
    <n v="9.7299995422363299"/>
    <n v="0"/>
    <n v="2.9400000572204599"/>
    <n v="0.75999999046325695"/>
    <n v="6.03999996185303"/>
    <n v="0"/>
    <n v="36"/>
    <n v="18"/>
    <n v="341"/>
    <n v="736"/>
    <n v="2083"/>
    <x v="0"/>
  </r>
  <r>
    <x v="0"/>
    <x v="12"/>
    <n v="11974"/>
    <n v="7.6700000762939498"/>
    <n v="7.6700000762939498"/>
    <n v="0"/>
    <n v="2.03999996185303"/>
    <n v="0.479999989271164"/>
    <n v="5.1500000953674299"/>
    <n v="0"/>
    <n v="27"/>
    <n v="12"/>
    <n v="228"/>
    <n v="1173"/>
    <n v="1861"/>
    <x v="0"/>
  </r>
  <r>
    <x v="0"/>
    <x v="13"/>
    <n v="10198"/>
    <n v="6.4400000572204599"/>
    <n v="6.4400000572204599"/>
    <n v="0"/>
    <n v="1.20000004768372"/>
    <n v="0.79000002145767201"/>
    <n v="4.4499998092651403"/>
    <n v="0"/>
    <n v="17"/>
    <n v="20"/>
    <n v="195"/>
    <n v="1208"/>
    <n v="1755"/>
    <x v="0"/>
  </r>
  <r>
    <x v="0"/>
    <x v="14"/>
    <n v="12521"/>
    <n v="7.9400000572204599"/>
    <n v="7.9400000572204599"/>
    <n v="0"/>
    <n v="3.3099999427795401"/>
    <n v="0.89999997615814198"/>
    <n v="3.7400000095367401"/>
    <n v="0"/>
    <n v="46"/>
    <n v="22"/>
    <n v="212"/>
    <n v="1160"/>
    <n v="1895"/>
    <x v="0"/>
  </r>
  <r>
    <x v="0"/>
    <x v="15"/>
    <n v="12432"/>
    <n v="8.1000003814697301"/>
    <n v="8.1000003814697301"/>
    <n v="0"/>
    <n v="2.5899999141693102"/>
    <n v="0.58999997377395597"/>
    <n v="4.9200000762939498"/>
    <n v="0"/>
    <n v="32"/>
    <n v="15"/>
    <n v="248"/>
    <n v="738"/>
    <n v="1883"/>
    <x v="0"/>
  </r>
  <r>
    <x v="0"/>
    <x v="16"/>
    <n v="10057"/>
    <n v="6.9800000190734899"/>
    <n v="6.9800000190734899"/>
    <n v="0"/>
    <n v="4"/>
    <n v="0.490000009536743"/>
    <n v="2.4800000190734899"/>
    <n v="0"/>
    <n v="44"/>
    <n v="13"/>
    <n v="168"/>
    <n v="737"/>
    <n v="1755"/>
    <x v="0"/>
  </r>
  <r>
    <x v="0"/>
    <x v="17"/>
    <n v="10990"/>
    <n v="7.2600002288818404"/>
    <n v="7.2600002288818404"/>
    <n v="0"/>
    <n v="2.03999996185303"/>
    <n v="0.56999999284744296"/>
    <n v="4.6500000953674299"/>
    <n v="0"/>
    <n v="26"/>
    <n v="14"/>
    <n v="216"/>
    <n v="855"/>
    <n v="1811"/>
    <x v="0"/>
  </r>
  <r>
    <x v="0"/>
    <x v="18"/>
    <n v="224"/>
    <n v="0.140000000596046"/>
    <n v="0.140000000596046"/>
    <n v="0"/>
    <n v="0"/>
    <n v="0"/>
    <n v="0.129999995231628"/>
    <n v="0"/>
    <n v="0"/>
    <n v="0"/>
    <n v="9"/>
    <n v="32"/>
    <n v="50"/>
    <x v="0"/>
  </r>
  <r>
    <x v="1"/>
    <x v="0"/>
    <n v="1810"/>
    <n v="1.1799999475479099"/>
    <n v="1.1799999475479099"/>
    <n v="0"/>
    <n v="0"/>
    <n v="0"/>
    <n v="1.12999999523163"/>
    <n v="9.9999997764825804E-3"/>
    <n v="0"/>
    <n v="0"/>
    <n v="121"/>
    <n v="1319"/>
    <n v="1373"/>
    <x v="0"/>
  </r>
  <r>
    <x v="1"/>
    <x v="1"/>
    <n v="815"/>
    <n v="0.52999997138977095"/>
    <n v="0.52999997138977095"/>
    <n v="0"/>
    <n v="0"/>
    <n v="0"/>
    <n v="0.52999997138977095"/>
    <n v="0"/>
    <n v="0"/>
    <n v="0"/>
    <n v="47"/>
    <n v="1393"/>
    <n v="1264"/>
    <x v="0"/>
  </r>
  <r>
    <x v="1"/>
    <x v="2"/>
    <n v="1985"/>
    <n v="1.28999996185303"/>
    <n v="1.28999996185303"/>
    <n v="0"/>
    <n v="0"/>
    <n v="0"/>
    <n v="1.2799999713897701"/>
    <n v="9.9999997764825804E-3"/>
    <n v="0"/>
    <n v="0"/>
    <n v="112"/>
    <n v="1328"/>
    <n v="1350"/>
    <x v="0"/>
  </r>
  <r>
    <x v="1"/>
    <x v="3"/>
    <n v="1905"/>
    <n v="1.2400000095367401"/>
    <n v="1.2400000095367401"/>
    <n v="0"/>
    <n v="0"/>
    <n v="0"/>
    <n v="1.2400000095367401"/>
    <n v="0"/>
    <n v="0"/>
    <n v="0"/>
    <n v="95"/>
    <n v="1345"/>
    <n v="1342"/>
    <x v="0"/>
  </r>
  <r>
    <x v="1"/>
    <x v="4"/>
    <n v="1552"/>
    <n v="1.0099999904632599"/>
    <n v="1.0099999904632599"/>
    <n v="0"/>
    <n v="0"/>
    <n v="0"/>
    <n v="1"/>
    <n v="0"/>
    <n v="0"/>
    <n v="0"/>
    <n v="66"/>
    <n v="1374"/>
    <n v="1300"/>
    <x v="0"/>
  </r>
  <r>
    <x v="1"/>
    <x v="5"/>
    <n v="1675"/>
    <n v="1.0900000333786"/>
    <n v="1.0900000333786"/>
    <n v="0"/>
    <n v="0"/>
    <n v="0"/>
    <n v="1.0900000333786"/>
    <n v="0"/>
    <n v="0"/>
    <n v="0"/>
    <n v="84"/>
    <n v="1356"/>
    <n v="1313"/>
    <x v="0"/>
  </r>
  <r>
    <x v="1"/>
    <x v="6"/>
    <n v="4506"/>
    <n v="2.9300000667571999"/>
    <n v="2.9300000667571999"/>
    <n v="0"/>
    <n v="0.50999999046325695"/>
    <n v="0.270000010728836"/>
    <n v="2.1500000953674299"/>
    <n v="9.9999997764825804E-3"/>
    <n v="7"/>
    <n v="4"/>
    <n v="144"/>
    <n v="1285"/>
    <n v="1498"/>
    <x v="0"/>
  </r>
  <r>
    <x v="1"/>
    <x v="7"/>
    <n v="9218"/>
    <n v="5.9899997711181596"/>
    <n v="5.9899997711181596"/>
    <n v="0"/>
    <n v="0"/>
    <n v="0"/>
    <n v="5.9699997901916504"/>
    <n v="9.9999997764825804E-3"/>
    <n v="0"/>
    <n v="0"/>
    <n v="221"/>
    <n v="1219"/>
    <n v="1541"/>
    <x v="0"/>
  </r>
  <r>
    <x v="1"/>
    <x v="8"/>
    <n v="1556"/>
    <n v="1.0099999904632599"/>
    <n v="1.0099999904632599"/>
    <n v="0"/>
    <n v="0"/>
    <n v="0"/>
    <n v="1.0099999904632599"/>
    <n v="9.9999997764825804E-3"/>
    <n v="0"/>
    <n v="0"/>
    <n v="88"/>
    <n v="1352"/>
    <n v="1327"/>
    <x v="0"/>
  </r>
  <r>
    <x v="1"/>
    <x v="9"/>
    <n v="2910"/>
    <n v="1.8899999856948899"/>
    <n v="1.8899999856948899"/>
    <n v="0"/>
    <n v="0"/>
    <n v="0"/>
    <n v="1.87999999523163"/>
    <n v="9.9999997764825804E-3"/>
    <n v="0"/>
    <n v="0"/>
    <n v="157"/>
    <n v="1283"/>
    <n v="1452"/>
    <x v="0"/>
  </r>
  <r>
    <x v="1"/>
    <x v="10"/>
    <n v="18464"/>
    <n v="12"/>
    <n v="12"/>
    <n v="0"/>
    <n v="0"/>
    <n v="0"/>
    <n v="12"/>
    <n v="0"/>
    <n v="0"/>
    <n v="0"/>
    <n v="270"/>
    <n v="1170"/>
    <n v="1574"/>
    <x v="0"/>
  </r>
  <r>
    <x v="1"/>
    <x v="11"/>
    <n v="1335"/>
    <n v="0.87000000476837203"/>
    <n v="0.87000000476837203"/>
    <n v="0"/>
    <n v="0"/>
    <n v="0"/>
    <n v="0.87000000476837203"/>
    <n v="0"/>
    <n v="0"/>
    <n v="0"/>
    <n v="74"/>
    <n v="1366"/>
    <n v="1308"/>
    <x v="0"/>
  </r>
  <r>
    <x v="1"/>
    <x v="12"/>
    <n v="1004"/>
    <n v="0.64999997615814198"/>
    <n v="0.64999997615814198"/>
    <n v="0"/>
    <n v="0"/>
    <n v="0"/>
    <n v="0.64999997615814198"/>
    <n v="0"/>
    <n v="0"/>
    <n v="0"/>
    <n v="55"/>
    <n v="1385"/>
    <n v="1276"/>
    <x v="0"/>
  </r>
  <r>
    <x v="1"/>
    <x v="13"/>
    <n v="1111"/>
    <n v="0.72000002861022905"/>
    <n v="0.72000002861022905"/>
    <n v="0"/>
    <n v="0"/>
    <n v="0"/>
    <n v="0.72000002861022905"/>
    <n v="0"/>
    <n v="0"/>
    <n v="0"/>
    <n v="54"/>
    <n v="1386"/>
    <n v="1278"/>
    <x v="0"/>
  </r>
  <r>
    <x v="1"/>
    <x v="14"/>
    <n v="6344"/>
    <n v="4.1199998855590803"/>
    <n v="4.1199998855590803"/>
    <n v="0"/>
    <n v="0"/>
    <n v="0"/>
    <n v="4.0999999046325701"/>
    <n v="0"/>
    <n v="0"/>
    <n v="0"/>
    <n v="143"/>
    <n v="1297"/>
    <n v="1409"/>
    <x v="0"/>
  </r>
  <r>
    <x v="1"/>
    <x v="15"/>
    <n v="3572"/>
    <n v="2.3199999332428001"/>
    <n v="2.3199999332428001"/>
    <n v="0"/>
    <n v="0"/>
    <n v="0"/>
    <n v="2.28999996185303"/>
    <n v="2.9999999329447701E-2"/>
    <n v="0"/>
    <n v="0"/>
    <n v="122"/>
    <n v="1318"/>
    <n v="1370"/>
    <x v="0"/>
  </r>
  <r>
    <x v="1"/>
    <x v="16"/>
    <n v="3910"/>
    <n v="2.53999996185303"/>
    <n v="2.53999996185303"/>
    <n v="0"/>
    <n v="0.46999999880790699"/>
    <n v="0.25"/>
    <n v="1.8099999427795399"/>
    <n v="9.9999997764825804E-3"/>
    <n v="7"/>
    <n v="7"/>
    <n v="186"/>
    <n v="1240"/>
    <n v="1555"/>
    <x v="0"/>
  </r>
  <r>
    <x v="1"/>
    <x v="17"/>
    <n v="10000"/>
    <n v="6.5"/>
    <n v="6.5"/>
    <n v="0"/>
    <n v="0"/>
    <n v="0"/>
    <n v="6.5"/>
    <n v="0"/>
    <n v="0"/>
    <n v="0"/>
    <n v="172"/>
    <n v="1268"/>
    <n v="1469"/>
    <x v="0"/>
  </r>
  <r>
    <x v="1"/>
    <x v="18"/>
    <n v="6627"/>
    <n v="4.3099999427795401"/>
    <n v="4.3099999427795401"/>
    <n v="0"/>
    <n v="0"/>
    <n v="0"/>
    <n v="4.3099999427795401"/>
    <n v="0"/>
    <n v="0"/>
    <n v="0"/>
    <n v="89"/>
    <n v="604"/>
    <n v="706"/>
    <x v="0"/>
  </r>
  <r>
    <x v="2"/>
    <x v="7"/>
    <n v="4636"/>
    <n v="3.4100000858306898"/>
    <n v="3.4100000858306898"/>
    <n v="0"/>
    <n v="0"/>
    <n v="0.77999997138977095"/>
    <n v="2.5999999046325701"/>
    <n v="2.9999999329447701E-2"/>
    <n v="0"/>
    <n v="16"/>
    <n v="586"/>
    <n v="838"/>
    <n v="3323"/>
    <x v="0"/>
  </r>
  <r>
    <x v="2"/>
    <x v="8"/>
    <n v="20237"/>
    <n v="14.710000038146999"/>
    <n v="14.710000038146999"/>
    <n v="0"/>
    <n v="2.5699999332428001"/>
    <n v="6.4000000953674299"/>
    <n v="5.7300000190734899"/>
    <n v="9.9999997764825804E-3"/>
    <n v="34"/>
    <n v="141"/>
    <n v="347"/>
    <n v="918"/>
    <n v="4029"/>
    <x v="0"/>
  </r>
  <r>
    <x v="2"/>
    <x v="9"/>
    <n v="12912"/>
    <n v="9.4099998474121094"/>
    <n v="9.4099998474121094"/>
    <n v="0"/>
    <n v="4.8299999237060502"/>
    <n v="0.769999980926514"/>
    <n v="3.78999996185303"/>
    <n v="2.9999999329447701E-2"/>
    <n v="59"/>
    <n v="16"/>
    <n v="283"/>
    <n v="1082"/>
    <n v="3436"/>
    <x v="0"/>
  </r>
  <r>
    <x v="2"/>
    <x v="10"/>
    <n v="2819"/>
    <n v="2.0499999523162802"/>
    <n v="2.0499999523162802"/>
    <n v="0"/>
    <n v="0.31000000238418601"/>
    <n v="0.17000000178813901"/>
    <n v="1.5599999427795399"/>
    <n v="9.9999997764825804E-3"/>
    <n v="4"/>
    <n v="4"/>
    <n v="87"/>
    <n v="1345"/>
    <n v="2444"/>
    <x v="0"/>
  </r>
  <r>
    <x v="2"/>
    <x v="11"/>
    <n v="9921"/>
    <n v="7.21000003814697"/>
    <n v="7.21000003814697"/>
    <n v="0"/>
    <n v="0.34000000357627902"/>
    <n v="1.5199999809265099"/>
    <n v="5.3600001335143999"/>
    <n v="0"/>
    <n v="5"/>
    <n v="35"/>
    <n v="219"/>
    <n v="1181"/>
    <n v="3098"/>
    <x v="0"/>
  </r>
  <r>
    <x v="2"/>
    <x v="12"/>
    <n v="8046"/>
    <n v="5.8499999046325701"/>
    <n v="5.8499999046325701"/>
    <n v="0"/>
    <n v="1.28999996185303"/>
    <n v="2.1199998855590798"/>
    <n v="2.4500000476837198"/>
    <n v="0"/>
    <n v="18"/>
    <n v="41"/>
    <n v="137"/>
    <n v="1244"/>
    <n v="2925"/>
    <x v="0"/>
  </r>
  <r>
    <x v="2"/>
    <x v="13"/>
    <n v="11166"/>
    <n v="8.1199998855590803"/>
    <n v="8.1199998855590803"/>
    <n v="0"/>
    <n v="0.20999999344348899"/>
    <n v="2.4100000858306898"/>
    <n v="5.5"/>
    <n v="0"/>
    <n v="3"/>
    <n v="58"/>
    <n v="230"/>
    <n v="1149"/>
    <n v="3202"/>
    <x v="0"/>
  </r>
  <r>
    <x v="2"/>
    <x v="14"/>
    <n v="7842"/>
    <n v="5.6999998092651403"/>
    <n v="5.6999998092651403"/>
    <n v="0"/>
    <n v="0.479999989271164"/>
    <n v="2.4100000858306898"/>
    <n v="2.8099999427795401"/>
    <n v="0"/>
    <n v="7"/>
    <n v="43"/>
    <n v="161"/>
    <n v="1229"/>
    <n v="2928"/>
    <x v="0"/>
  </r>
  <r>
    <x v="2"/>
    <x v="15"/>
    <n v="13840"/>
    <n v="10.060000419616699"/>
    <n v="10.060000419616699"/>
    <n v="0"/>
    <n v="1.3099999427795399"/>
    <n v="3.7200000286102299"/>
    <n v="5.0300002098083496"/>
    <n v="0"/>
    <n v="18"/>
    <n v="81"/>
    <n v="192"/>
    <n v="1149"/>
    <n v="3290"/>
    <x v="0"/>
  </r>
  <r>
    <x v="2"/>
    <x v="16"/>
    <n v="1329"/>
    <n v="0.97000002861022905"/>
    <n v="0.97000002861022905"/>
    <n v="0"/>
    <n v="0"/>
    <n v="0"/>
    <n v="0.97000002861022905"/>
    <n v="0"/>
    <n v="0"/>
    <n v="0"/>
    <n v="35"/>
    <n v="207"/>
    <n v="489"/>
    <x v="0"/>
  </r>
  <r>
    <x v="3"/>
    <x v="7"/>
    <n v="6847"/>
    <n v="4.5300002098083496"/>
    <n v="4.5300002098083496"/>
    <n v="0"/>
    <n v="0.61000001430511497"/>
    <n v="0.37000000476837203"/>
    <n v="3.5499999523162802"/>
    <n v="0"/>
    <n v="9"/>
    <n v="9"/>
    <n v="251"/>
    <n v="1171"/>
    <n v="1969"/>
    <x v="0"/>
  </r>
  <r>
    <x v="3"/>
    <x v="8"/>
    <n v="5367"/>
    <n v="3.5499999523162802"/>
    <n v="3.5499999523162802"/>
    <n v="0"/>
    <n v="0"/>
    <n v="0"/>
    <n v="3.5499999523162802"/>
    <n v="0"/>
    <n v="0"/>
    <n v="0"/>
    <n v="263"/>
    <n v="1177"/>
    <n v="1889"/>
    <x v="0"/>
  </r>
  <r>
    <x v="3"/>
    <x v="9"/>
    <n v="2841"/>
    <n v="1.87999999523163"/>
    <n v="1.87999999523163"/>
    <n v="0"/>
    <n v="0"/>
    <n v="0"/>
    <n v="1.87999999523163"/>
    <n v="0"/>
    <n v="0"/>
    <n v="0"/>
    <n v="136"/>
    <n v="1114"/>
    <n v="1636"/>
    <x v="0"/>
  </r>
  <r>
    <x v="3"/>
    <x v="10"/>
    <n v="0"/>
    <n v="0"/>
    <n v="0"/>
    <n v="0"/>
    <n v="0"/>
    <n v="0"/>
    <n v="0"/>
    <n v="0"/>
    <n v="0"/>
    <n v="0"/>
    <n v="0"/>
    <n v="669"/>
    <n v="1347"/>
    <x v="0"/>
  </r>
  <r>
    <x v="3"/>
    <x v="11"/>
    <n v="0"/>
    <n v="0"/>
    <n v="0"/>
    <n v="0"/>
    <n v="0"/>
    <n v="0"/>
    <n v="0"/>
    <n v="0"/>
    <n v="0"/>
    <n v="0"/>
    <n v="0"/>
    <n v="1440"/>
    <n v="1347"/>
    <x v="0"/>
  </r>
  <r>
    <x v="3"/>
    <x v="12"/>
    <n v="7"/>
    <n v="0"/>
    <n v="0"/>
    <n v="0"/>
    <n v="0"/>
    <n v="0"/>
    <n v="0"/>
    <n v="0"/>
    <n v="0"/>
    <n v="0"/>
    <n v="1"/>
    <n v="1439"/>
    <n v="1349"/>
    <x v="0"/>
  </r>
  <r>
    <x v="3"/>
    <x v="13"/>
    <n v="6344"/>
    <n v="4.1900000572204599"/>
    <n v="4.1900000572204599"/>
    <n v="0"/>
    <n v="0"/>
    <n v="0"/>
    <n v="4.1900000572204599"/>
    <n v="0"/>
    <n v="0"/>
    <n v="0"/>
    <n v="290"/>
    <n v="1150"/>
    <n v="1965"/>
    <x v="0"/>
  </r>
  <r>
    <x v="3"/>
    <x v="14"/>
    <n v="5316"/>
    <n v="3.5099999904632599"/>
    <n v="3.5099999904632599"/>
    <n v="0"/>
    <n v="0"/>
    <n v="0"/>
    <n v="3.5099999904632599"/>
    <n v="0"/>
    <n v="0"/>
    <n v="0"/>
    <n v="221"/>
    <n v="1219"/>
    <n v="1824"/>
    <x v="0"/>
  </r>
  <r>
    <x v="3"/>
    <x v="15"/>
    <n v="4979"/>
    <n v="3.28999996185303"/>
    <n v="3.28999996185303"/>
    <n v="0"/>
    <n v="0"/>
    <n v="0"/>
    <n v="3.28999996185303"/>
    <n v="0"/>
    <n v="0"/>
    <n v="0"/>
    <n v="184"/>
    <n v="620"/>
    <n v="1807"/>
    <x v="0"/>
  </r>
  <r>
    <x v="3"/>
    <x v="16"/>
    <n v="6556"/>
    <n v="4.3400001525878897"/>
    <n v="4.3400001525878897"/>
    <n v="0"/>
    <n v="0"/>
    <n v="0"/>
    <n v="4.3299999237060502"/>
    <n v="0"/>
    <n v="0"/>
    <n v="0"/>
    <n v="305"/>
    <n v="810"/>
    <n v="1971"/>
    <x v="0"/>
  </r>
  <r>
    <x v="3"/>
    <x v="17"/>
    <n v="5430"/>
    <n v="3.5899999141693102"/>
    <n v="3.5899999141693102"/>
    <n v="0"/>
    <n v="0"/>
    <n v="0"/>
    <n v="3.5899999141693102"/>
    <n v="0"/>
    <n v="0"/>
    <n v="0"/>
    <n v="251"/>
    <n v="1189"/>
    <n v="1888"/>
    <x v="0"/>
  </r>
  <r>
    <x v="3"/>
    <x v="18"/>
    <n v="0"/>
    <n v="0"/>
    <n v="0"/>
    <n v="0"/>
    <n v="0"/>
    <n v="0"/>
    <n v="0"/>
    <n v="0"/>
    <n v="0"/>
    <n v="0"/>
    <n v="0"/>
    <n v="426"/>
    <n v="399"/>
    <x v="0"/>
  </r>
  <r>
    <x v="4"/>
    <x v="7"/>
    <n v="4317"/>
    <n v="2.9900000095367401"/>
    <n v="2.9900000095367401"/>
    <n v="0"/>
    <n v="0"/>
    <n v="0.37000000476837203"/>
    <n v="2.6199998855590798"/>
    <n v="0"/>
    <n v="0"/>
    <n v="11"/>
    <n v="192"/>
    <n v="854"/>
    <n v="2590"/>
    <x v="0"/>
  </r>
  <r>
    <x v="4"/>
    <x v="8"/>
    <n v="5662"/>
    <n v="3.9200000762939502"/>
    <n v="3.9200000762939502"/>
    <n v="0"/>
    <n v="0"/>
    <n v="0"/>
    <n v="3.9200000762939502"/>
    <n v="0"/>
    <n v="0"/>
    <n v="0"/>
    <n v="267"/>
    <n v="858"/>
    <n v="2783"/>
    <x v="0"/>
  </r>
  <r>
    <x v="4"/>
    <x v="9"/>
    <n v="3198"/>
    <n v="2.21000003814697"/>
    <n v="2.21000003814697"/>
    <n v="0"/>
    <n v="0"/>
    <n v="0"/>
    <n v="2.21000003814697"/>
    <n v="0"/>
    <n v="0"/>
    <n v="0"/>
    <n v="146"/>
    <n v="1183"/>
    <n v="2449"/>
    <x v="0"/>
  </r>
  <r>
    <x v="4"/>
    <x v="10"/>
    <n v="2352"/>
    <n v="1.62999999523163"/>
    <n v="1.62999999523163"/>
    <n v="0"/>
    <n v="0"/>
    <n v="0"/>
    <n v="1.62999999523163"/>
    <n v="0"/>
    <n v="0"/>
    <n v="0"/>
    <n v="128"/>
    <n v="829"/>
    <n v="2380"/>
    <x v="0"/>
  </r>
  <r>
    <x v="4"/>
    <x v="11"/>
    <n v="2234"/>
    <n v="1.54999995231628"/>
    <n v="1.54999995231628"/>
    <n v="0"/>
    <n v="0"/>
    <n v="0"/>
    <n v="1.54999995231628"/>
    <n v="0"/>
    <n v="0"/>
    <n v="0"/>
    <n v="108"/>
    <n v="912"/>
    <n v="2344"/>
    <x v="0"/>
  </r>
  <r>
    <x v="4"/>
    <x v="12"/>
    <n v="1259"/>
    <n v="0.87000000476837203"/>
    <n v="0.87000000476837203"/>
    <n v="0"/>
    <n v="0"/>
    <n v="0"/>
    <n v="0.87000000476837203"/>
    <n v="0"/>
    <n v="0"/>
    <n v="0"/>
    <n v="73"/>
    <n v="938"/>
    <n v="2202"/>
    <x v="0"/>
  </r>
  <r>
    <x v="4"/>
    <x v="13"/>
    <n v="768"/>
    <n v="0.52999997138977095"/>
    <n v="0.52999997138977095"/>
    <n v="0"/>
    <n v="0"/>
    <n v="0"/>
    <n v="0.52999997138977095"/>
    <n v="0"/>
    <n v="0"/>
    <n v="0"/>
    <n v="43"/>
    <n v="1397"/>
    <n v="2130"/>
    <x v="0"/>
  </r>
  <r>
    <x v="4"/>
    <x v="14"/>
    <n v="519"/>
    <n v="0.36000001430511502"/>
    <n v="0.36000001430511502"/>
    <n v="0"/>
    <n v="0"/>
    <n v="0"/>
    <n v="0.36000001430511502"/>
    <n v="0"/>
    <n v="0"/>
    <n v="0"/>
    <n v="34"/>
    <n v="1406"/>
    <n v="2088"/>
    <x v="0"/>
  </r>
  <r>
    <x v="4"/>
    <x v="15"/>
    <n v="2523"/>
    <n v="1.75"/>
    <n v="1.75"/>
    <n v="0"/>
    <n v="0"/>
    <n v="0.37000000476837203"/>
    <n v="1.37999999523163"/>
    <n v="0"/>
    <n v="0"/>
    <n v="9"/>
    <n v="134"/>
    <n v="1250"/>
    <n v="2443"/>
    <x v="0"/>
  </r>
  <r>
    <x v="4"/>
    <x v="16"/>
    <n v="2105"/>
    <n v="1.46000003814697"/>
    <n v="1.46000003814697"/>
    <n v="0"/>
    <n v="0"/>
    <n v="0"/>
    <n v="1.46000003814697"/>
    <n v="0"/>
    <n v="0"/>
    <n v="0"/>
    <n v="139"/>
    <n v="805"/>
    <n v="2442"/>
    <x v="0"/>
  </r>
  <r>
    <x v="4"/>
    <x v="17"/>
    <n v="1209"/>
    <n v="0.83999997377395597"/>
    <n v="0.83999997377395597"/>
    <n v="0"/>
    <n v="0"/>
    <n v="0"/>
    <n v="0.83999997377395597"/>
    <n v="0"/>
    <n v="0"/>
    <n v="0"/>
    <n v="73"/>
    <n v="842"/>
    <n v="2255"/>
    <x v="0"/>
  </r>
  <r>
    <x v="4"/>
    <x v="18"/>
    <n v="24"/>
    <n v="1.9999999552965199E-2"/>
    <n v="1.9999999552965199E-2"/>
    <n v="0"/>
    <n v="0"/>
    <n v="0"/>
    <n v="1.9999999552965199E-2"/>
    <n v="0"/>
    <n v="0"/>
    <n v="0"/>
    <n v="3"/>
    <n v="161"/>
    <n v="942"/>
    <x v="0"/>
  </r>
  <r>
    <x v="5"/>
    <x v="7"/>
    <n v="13603"/>
    <n v="9.6000003814697301"/>
    <n v="9.6000003814697301"/>
    <n v="0"/>
    <n v="5.46000003814697"/>
    <n v="0.62999999523162797"/>
    <n v="3.5099999904632599"/>
    <n v="0"/>
    <n v="72"/>
    <n v="16"/>
    <n v="213"/>
    <n v="1139"/>
    <n v="2645"/>
    <x v="0"/>
  </r>
  <r>
    <x v="5"/>
    <x v="8"/>
    <n v="5477"/>
    <n v="3.8399999141693102"/>
    <n v="3.8399999141693102"/>
    <n v="0"/>
    <n v="0"/>
    <n v="0"/>
    <n v="3.8399999141693102"/>
    <n v="0"/>
    <n v="0"/>
    <n v="0"/>
    <n v="237"/>
    <n v="1203"/>
    <n v="2040"/>
    <x v="0"/>
  </r>
  <r>
    <x v="5"/>
    <x v="9"/>
    <n v="11144"/>
    <n v="7.8200001716613796"/>
    <n v="7.8200001716613796"/>
    <n v="0"/>
    <n v="1.78999996185303"/>
    <n v="0.88999998569488503"/>
    <n v="5.1399998664856001"/>
    <n v="0"/>
    <n v="25"/>
    <n v="22"/>
    <n v="279"/>
    <n v="1114"/>
    <n v="2395"/>
    <x v="0"/>
  </r>
  <r>
    <x v="5"/>
    <x v="10"/>
    <n v="15313"/>
    <n v="11"/>
    <n v="11"/>
    <n v="0"/>
    <n v="5.0199999809265101"/>
    <n v="1.28999996185303"/>
    <n v="4.6900000572204599"/>
    <n v="0"/>
    <n v="62"/>
    <n v="19"/>
    <n v="233"/>
    <n v="1126"/>
    <n v="2581"/>
    <x v="0"/>
  </r>
  <r>
    <x v="5"/>
    <x v="11"/>
    <n v="10805"/>
    <n v="7.5900001525878897"/>
    <n v="7.5900001525878897"/>
    <n v="0"/>
    <n v="0.72000002861022905"/>
    <n v="0.980000019073486"/>
    <n v="5.8899998664856001"/>
    <n v="0"/>
    <n v="36"/>
    <n v="37"/>
    <n v="298"/>
    <n v="1069"/>
    <n v="2735"/>
    <x v="0"/>
  </r>
  <r>
    <x v="5"/>
    <x v="12"/>
    <n v="15392"/>
    <n v="10.930000305175801"/>
    <n v="10.930000305175801"/>
    <n v="0"/>
    <n v="3.4300000667571999"/>
    <n v="1.75"/>
    <n v="5.75"/>
    <n v="0"/>
    <n v="47"/>
    <n v="42"/>
    <n v="258"/>
    <n v="1093"/>
    <n v="2733"/>
    <x v="0"/>
  </r>
  <r>
    <x v="5"/>
    <x v="13"/>
    <n v="18247"/>
    <n v="13.829999923706101"/>
    <n v="13.829999923706101"/>
    <n v="0"/>
    <n v="7.1100001335143999"/>
    <n v="2.21000003814697"/>
    <n v="4.5100002288818404"/>
    <n v="0"/>
    <n v="72"/>
    <n v="62"/>
    <n v="252"/>
    <n v="1054"/>
    <n v="3021"/>
    <x v="0"/>
  </r>
  <r>
    <x v="5"/>
    <x v="14"/>
    <n v="13023"/>
    <n v="9.2600002288818395"/>
    <n v="9.2600002288818395"/>
    <n v="0"/>
    <n v="3.2300000190734899"/>
    <n v="0.56000000238418601"/>
    <n v="5.4699997901916504"/>
    <n v="0"/>
    <n v="40"/>
    <n v="12"/>
    <n v="296"/>
    <n v="1092"/>
    <n v="2577"/>
    <x v="0"/>
  </r>
  <r>
    <x v="5"/>
    <x v="15"/>
    <n v="16267"/>
    <n v="12.5900001525879"/>
    <n v="12.5900001525879"/>
    <n v="0"/>
    <n v="5.75"/>
    <n v="0.46999999880790699"/>
    <n v="6.3699998855590803"/>
    <n v="0"/>
    <n v="44"/>
    <n v="16"/>
    <n v="302"/>
    <n v="1078"/>
    <n v="2811"/>
    <x v="0"/>
  </r>
  <r>
    <x v="5"/>
    <x v="16"/>
    <n v="10005"/>
    <n v="7.0199999809265101"/>
    <n v="7.0199999809265101"/>
    <n v="0"/>
    <n v="7.9999998211860698E-2"/>
    <n v="1.04999995231628"/>
    <n v="5.9000000953674299"/>
    <n v="0"/>
    <n v="1"/>
    <n v="23"/>
    <n v="339"/>
    <n v="1077"/>
    <n v="2458"/>
    <x v="0"/>
  </r>
  <r>
    <x v="5"/>
    <x v="17"/>
    <n v="10106"/>
    <n v="7.0900001525878897"/>
    <n v="7.0900001525878897"/>
    <n v="0"/>
    <n v="1.21000003814697"/>
    <n v="0.56000000238418601"/>
    <n v="5.3299999237060502"/>
    <n v="0"/>
    <n v="41"/>
    <n v="16"/>
    <n v="272"/>
    <n v="1111"/>
    <n v="2568"/>
    <x v="0"/>
  </r>
  <r>
    <x v="5"/>
    <x v="18"/>
    <n v="6717"/>
    <n v="4.7199997901916504"/>
    <n v="4.7199997901916504"/>
    <n v="0"/>
    <n v="3.2300000190734899"/>
    <n v="0.21999999880790699"/>
    <n v="1.2699999809265099"/>
    <n v="0"/>
    <n v="41"/>
    <n v="5"/>
    <n v="67"/>
    <n v="551"/>
    <n v="1140"/>
    <x v="0"/>
  </r>
  <r>
    <x v="6"/>
    <x v="7"/>
    <n v="2605"/>
    <n v="1.62000000476837"/>
    <n v="1.62000000476837"/>
    <n v="0"/>
    <n v="0"/>
    <n v="0"/>
    <n v="1.62000000476837"/>
    <n v="0"/>
    <n v="0"/>
    <n v="0"/>
    <n v="166"/>
    <n v="729"/>
    <n v="1407"/>
    <x v="0"/>
  </r>
  <r>
    <x v="6"/>
    <x v="8"/>
    <n v="1229"/>
    <n v="0.75999999046325695"/>
    <n v="0.75999999046325695"/>
    <n v="0"/>
    <n v="0"/>
    <n v="0"/>
    <n v="0.75999999046325695"/>
    <n v="0"/>
    <n v="0"/>
    <n v="0"/>
    <n v="69"/>
    <n v="795"/>
    <n v="1237"/>
    <x v="0"/>
  </r>
  <r>
    <x v="6"/>
    <x v="9"/>
    <n v="2308"/>
    <n v="1.4299999475479099"/>
    <n v="1.4299999475479099"/>
    <n v="0"/>
    <n v="0"/>
    <n v="0"/>
    <n v="1.4299999475479099"/>
    <n v="0"/>
    <n v="0"/>
    <n v="0"/>
    <n v="115"/>
    <n v="720"/>
    <n v="1330"/>
    <x v="0"/>
  </r>
  <r>
    <x v="6"/>
    <x v="10"/>
    <n v="6679"/>
    <n v="4.1399998664856001"/>
    <n v="4.1399998664856001"/>
    <n v="0"/>
    <n v="0"/>
    <n v="0"/>
    <n v="4.1399998664856001"/>
    <n v="0"/>
    <n v="0"/>
    <n v="0"/>
    <n v="263"/>
    <n v="644"/>
    <n v="1583"/>
    <x v="0"/>
  </r>
  <r>
    <x v="6"/>
    <x v="11"/>
    <n v="5645"/>
    <n v="3.5"/>
    <n v="3.5"/>
    <n v="0"/>
    <n v="0"/>
    <n v="0"/>
    <n v="3.5"/>
    <n v="0"/>
    <n v="0"/>
    <n v="0"/>
    <n v="248"/>
    <n v="621"/>
    <n v="1538"/>
    <x v="0"/>
  </r>
  <r>
    <x v="6"/>
    <x v="12"/>
    <n v="3180"/>
    <n v="1.9700000286102299"/>
    <n v="1.9700000286102299"/>
    <n v="0"/>
    <n v="0"/>
    <n v="0"/>
    <n v="1.9700000286102299"/>
    <n v="0"/>
    <n v="0"/>
    <n v="0"/>
    <n v="185"/>
    <n v="738"/>
    <n v="1421"/>
    <x v="0"/>
  </r>
  <r>
    <x v="6"/>
    <x v="13"/>
    <n v="2767"/>
    <n v="1.7200000286102299"/>
    <n v="1.7200000286102299"/>
    <n v="0"/>
    <n v="0"/>
    <n v="0"/>
    <n v="1.7200000286102299"/>
    <n v="0"/>
    <n v="0"/>
    <n v="0"/>
    <n v="170"/>
    <n v="673"/>
    <n v="1392"/>
    <x v="0"/>
  </r>
  <r>
    <x v="6"/>
    <x v="14"/>
    <n v="3762"/>
    <n v="2.3299999237060498"/>
    <n v="2.3299999237060498"/>
    <n v="0"/>
    <n v="0"/>
    <n v="0"/>
    <n v="2.3299999237060498"/>
    <n v="0"/>
    <n v="0"/>
    <n v="0"/>
    <n v="173"/>
    <n v="719"/>
    <n v="1425"/>
    <x v="0"/>
  </r>
  <r>
    <x v="6"/>
    <x v="15"/>
    <n v="3098"/>
    <n v="1.91999995708466"/>
    <n v="1.91999995708466"/>
    <n v="0"/>
    <n v="0"/>
    <n v="0"/>
    <n v="1.91999995708466"/>
    <n v="0"/>
    <n v="0"/>
    <n v="0"/>
    <n v="185"/>
    <n v="700"/>
    <n v="1413"/>
    <x v="0"/>
  </r>
  <r>
    <x v="6"/>
    <x v="16"/>
    <n v="5142"/>
    <n v="3.1900000572204599"/>
    <n v="3.1900000572204599"/>
    <n v="0"/>
    <n v="0"/>
    <n v="0"/>
    <n v="3.1900000572204599"/>
    <n v="0"/>
    <n v="0"/>
    <n v="0"/>
    <n v="230"/>
    <n v="654"/>
    <n v="1515"/>
    <x v="0"/>
  </r>
  <r>
    <x v="6"/>
    <x v="17"/>
    <n v="3279"/>
    <n v="2.0299999713897701"/>
    <n v="2.0299999713897701"/>
    <n v="0"/>
    <n v="0"/>
    <n v="0"/>
    <n v="2.0299999713897701"/>
    <n v="0"/>
    <n v="0"/>
    <n v="0"/>
    <n v="164"/>
    <n v="694"/>
    <n v="1405"/>
    <x v="0"/>
  </r>
  <r>
    <x v="6"/>
    <x v="18"/>
    <n v="1019"/>
    <n v="0.62999999523162797"/>
    <n v="0.62999999523162797"/>
    <n v="0"/>
    <n v="0"/>
    <n v="0"/>
    <n v="0.62999999523162797"/>
    <n v="0"/>
    <n v="0"/>
    <n v="0"/>
    <n v="64"/>
    <n v="223"/>
    <n v="600"/>
    <x v="0"/>
  </r>
  <r>
    <x v="7"/>
    <x v="7"/>
    <n v="0"/>
    <n v="0"/>
    <n v="0"/>
    <n v="0"/>
    <n v="0"/>
    <n v="0"/>
    <n v="0"/>
    <n v="0"/>
    <n v="0"/>
    <n v="0"/>
    <n v="0"/>
    <n v="1440"/>
    <n v="1324"/>
    <x v="0"/>
  </r>
  <r>
    <x v="7"/>
    <x v="8"/>
    <n v="0"/>
    <n v="0"/>
    <n v="0"/>
    <n v="0"/>
    <n v="0"/>
    <n v="0"/>
    <n v="0"/>
    <n v="0"/>
    <n v="0"/>
    <n v="0"/>
    <n v="0"/>
    <n v="1440"/>
    <n v="1324"/>
    <x v="0"/>
  </r>
  <r>
    <x v="7"/>
    <x v="9"/>
    <n v="0"/>
    <n v="0"/>
    <n v="0"/>
    <n v="0"/>
    <n v="0"/>
    <n v="0"/>
    <n v="0"/>
    <n v="0"/>
    <n v="0"/>
    <n v="0"/>
    <n v="0"/>
    <n v="1440"/>
    <n v="1324"/>
    <x v="0"/>
  </r>
  <r>
    <x v="7"/>
    <x v="10"/>
    <n v="0"/>
    <n v="0"/>
    <n v="0"/>
    <n v="0"/>
    <n v="0"/>
    <n v="0"/>
    <n v="0"/>
    <n v="0"/>
    <n v="0"/>
    <n v="0"/>
    <n v="0"/>
    <n v="1440"/>
    <n v="1324"/>
    <x v="0"/>
  </r>
  <r>
    <x v="7"/>
    <x v="11"/>
    <n v="4931"/>
    <n v="3.3199999332428001"/>
    <n v="3.3199999332428001"/>
    <n v="0"/>
    <n v="0"/>
    <n v="0"/>
    <n v="3.3199999332428001"/>
    <n v="0"/>
    <n v="0"/>
    <n v="0"/>
    <n v="175"/>
    <n v="1265"/>
    <n v="1708"/>
    <x v="0"/>
  </r>
  <r>
    <x v="7"/>
    <x v="12"/>
    <n v="6999"/>
    <n v="4.7199997901916504"/>
    <n v="4.7199997901916504"/>
    <n v="0"/>
    <n v="0"/>
    <n v="0"/>
    <n v="4.7199997901916504"/>
    <n v="0"/>
    <n v="0"/>
    <n v="0"/>
    <n v="320"/>
    <n v="1120"/>
    <n v="1950"/>
    <x v="0"/>
  </r>
  <r>
    <x v="7"/>
    <x v="13"/>
    <n v="1846"/>
    <n v="1.2400000095367401"/>
    <n v="1.2400000095367401"/>
    <n v="0"/>
    <n v="0"/>
    <n v="0"/>
    <n v="1.2400000095367401"/>
    <n v="0"/>
    <n v="0"/>
    <n v="0"/>
    <n v="93"/>
    <n v="1347"/>
    <n v="1508"/>
    <x v="0"/>
  </r>
  <r>
    <x v="7"/>
    <x v="14"/>
    <n v="3417"/>
    <n v="2.2999999523162802"/>
    <n v="2.2999999523162802"/>
    <n v="0"/>
    <n v="0"/>
    <n v="0"/>
    <n v="2.2999999523162802"/>
    <n v="0"/>
    <n v="0"/>
    <n v="0"/>
    <n v="153"/>
    <n v="1287"/>
    <n v="1625"/>
    <x v="0"/>
  </r>
  <r>
    <x v="7"/>
    <x v="15"/>
    <n v="4863"/>
    <n v="3.2799999713897701"/>
    <n v="3.2799999713897701"/>
    <n v="0"/>
    <n v="5.9999998658895499E-2"/>
    <n v="0.41999998688697798"/>
    <n v="2.7999999523162802"/>
    <n v="0"/>
    <n v="1"/>
    <n v="11"/>
    <n v="208"/>
    <n v="1220"/>
    <n v="1772"/>
    <x v="0"/>
  </r>
  <r>
    <x v="7"/>
    <x v="16"/>
    <n v="2277"/>
    <n v="1.5299999713897701"/>
    <n v="1.5299999713897701"/>
    <n v="0"/>
    <n v="0"/>
    <n v="0"/>
    <n v="1.5299999713897701"/>
    <n v="0"/>
    <n v="0"/>
    <n v="0"/>
    <n v="103"/>
    <n v="1337"/>
    <n v="1530"/>
    <x v="0"/>
  </r>
  <r>
    <x v="7"/>
    <x v="17"/>
    <n v="11230"/>
    <n v="7.6700000762939498"/>
    <n v="7.6700000762939498"/>
    <n v="0"/>
    <n v="0.88999998569488503"/>
    <n v="0.119999997317791"/>
    <n v="6.6599998474121103"/>
    <n v="0"/>
    <n v="10"/>
    <n v="2"/>
    <n v="390"/>
    <n v="1038"/>
    <n v="2206"/>
    <x v="0"/>
  </r>
  <r>
    <x v="7"/>
    <x v="18"/>
    <n v="2098"/>
    <n v="1.4099999666214"/>
    <n v="1.4099999666214"/>
    <n v="0"/>
    <n v="0"/>
    <n v="0"/>
    <n v="1.4099999666214"/>
    <n v="0"/>
    <n v="0"/>
    <n v="0"/>
    <n v="69"/>
    <n v="617"/>
    <n v="790"/>
    <x v="0"/>
  </r>
  <r>
    <x v="8"/>
    <x v="4"/>
    <n v="10272"/>
    <n v="6.78999996185303"/>
    <n v="6.78999996185303"/>
    <n v="0"/>
    <n v="0.15999999642372101"/>
    <n v="3.1199998855590798"/>
    <n v="3.5"/>
    <n v="0"/>
    <n v="2"/>
    <n v="58"/>
    <n v="208"/>
    <n v="700"/>
    <n v="2041"/>
    <x v="0"/>
  </r>
  <r>
    <x v="8"/>
    <x v="5"/>
    <n v="10533"/>
    <n v="7.0999999046325701"/>
    <n v="7.0999999046325701"/>
    <n v="0"/>
    <n v="1.7699999809265099"/>
    <n v="2.0599999427795401"/>
    <n v="3.2699999809265101"/>
    <n v="0"/>
    <n v="21"/>
    <n v="35"/>
    <n v="255"/>
    <n v="615"/>
    <n v="2187"/>
    <x v="0"/>
  </r>
  <r>
    <x v="8"/>
    <x v="6"/>
    <n v="6760"/>
    <n v="4.4699997901916504"/>
    <n v="4.4699997901916504"/>
    <n v="0"/>
    <n v="0"/>
    <n v="0"/>
    <n v="4.4699997901916504"/>
    <n v="0"/>
    <n v="0"/>
    <n v="0"/>
    <n v="250"/>
    <n v="613"/>
    <n v="1929"/>
    <x v="0"/>
  </r>
  <r>
    <x v="8"/>
    <x v="7"/>
    <n v="8328"/>
    <n v="5.5100002288818404"/>
    <n v="5.5100002288818404"/>
    <n v="0"/>
    <n v="0"/>
    <n v="2"/>
    <n v="3.5"/>
    <n v="0"/>
    <n v="0"/>
    <n v="33"/>
    <n v="212"/>
    <n v="804"/>
    <n v="1935"/>
    <x v="0"/>
  </r>
  <r>
    <x v="8"/>
    <x v="8"/>
    <n v="15459"/>
    <n v="10.2200002670288"/>
    <n v="10.2200002670288"/>
    <n v="0"/>
    <n v="3.5899999141693102"/>
    <n v="0.81000000238418601"/>
    <n v="5.8200001716613796"/>
    <n v="0"/>
    <n v="51"/>
    <n v="16"/>
    <n v="327"/>
    <n v="583"/>
    <n v="2438"/>
    <x v="0"/>
  </r>
  <r>
    <x v="8"/>
    <x v="9"/>
    <n v="7485"/>
    <n v="4.9499998092651403"/>
    <n v="4.9499998092651403"/>
    <n v="0"/>
    <n v="0"/>
    <n v="0"/>
    <n v="4.9499998092651403"/>
    <n v="0"/>
    <n v="0"/>
    <n v="0"/>
    <n v="324"/>
    <n v="491"/>
    <n v="2035"/>
    <x v="0"/>
  </r>
  <r>
    <x v="8"/>
    <x v="10"/>
    <n v="10254"/>
    <n v="6.8000001907348597"/>
    <n v="6.8000001907348597"/>
    <n v="0"/>
    <n v="1.41999995708466"/>
    <n v="1.2300000190734901"/>
    <n v="4.1599998474121103"/>
    <n v="0"/>
    <n v="21"/>
    <n v="25"/>
    <n v="231"/>
    <n v="638"/>
    <n v="2099"/>
    <x v="0"/>
  </r>
  <r>
    <x v="8"/>
    <x v="11"/>
    <n v="10114"/>
    <n v="6.8200001716613796"/>
    <n v="6.8200001716613796"/>
    <n v="0"/>
    <n v="1.6399999856948899"/>
    <n v="0.479999989271164"/>
    <n v="4.6799998283386204"/>
    <n v="0"/>
    <n v="18"/>
    <n v="9"/>
    <n v="269"/>
    <n v="696"/>
    <n v="2096"/>
    <x v="0"/>
  </r>
  <r>
    <x v="8"/>
    <x v="12"/>
    <n v="11107"/>
    <n v="7.3400001525878897"/>
    <n v="7.3400001525878897"/>
    <n v="0"/>
    <n v="0.89999997615814198"/>
    <n v="2.7599999904632599"/>
    <n v="3.6800000667571999"/>
    <n v="0"/>
    <n v="14"/>
    <n v="46"/>
    <n v="196"/>
    <n v="759"/>
    <n v="2058"/>
    <x v="0"/>
  </r>
  <r>
    <x v="8"/>
    <x v="13"/>
    <n v="10320"/>
    <n v="6.8499999046325701"/>
    <n v="6.8499999046325701"/>
    <n v="0"/>
    <n v="0.68000000715255704"/>
    <n v="1.2300000190734901"/>
    <n v="4.9400000572204599"/>
    <n v="0"/>
    <n v="15"/>
    <n v="32"/>
    <n v="315"/>
    <n v="1002"/>
    <n v="2338"/>
    <x v="0"/>
  </r>
  <r>
    <x v="8"/>
    <x v="14"/>
    <n v="10209"/>
    <n v="6.75"/>
    <n v="6.75"/>
    <n v="0"/>
    <n v="0.15999999642372101"/>
    <n v="0.34999999403953602"/>
    <n v="6.2300000190734899"/>
    <n v="0"/>
    <n v="2"/>
    <n v="6"/>
    <n v="316"/>
    <n v="711"/>
    <n v="2104"/>
    <x v="0"/>
  </r>
  <r>
    <x v="8"/>
    <x v="15"/>
    <n v="16081"/>
    <n v="10.6300001144409"/>
    <n v="10.6300001144409"/>
    <n v="0"/>
    <n v="1.25"/>
    <n v="1.8200000524520901"/>
    <n v="7.5599999427795401"/>
    <n v="0"/>
    <n v="16"/>
    <n v="32"/>
    <n v="401"/>
    <n v="970"/>
    <n v="2488"/>
    <x v="0"/>
  </r>
  <r>
    <x v="8"/>
    <x v="16"/>
    <n v="10078"/>
    <n v="6.8299999237060502"/>
    <n v="6.8299999237060502"/>
    <n v="0"/>
    <n v="1.0199999809265099"/>
    <n v="0.119999997317791"/>
    <n v="5.6900000572204599"/>
    <n v="0"/>
    <n v="12"/>
    <n v="3"/>
    <n v="303"/>
    <n v="463"/>
    <n v="2164"/>
    <x v="0"/>
  </r>
  <r>
    <x v="8"/>
    <x v="17"/>
    <n v="10001"/>
    <n v="6.6100001335143999"/>
    <n v="6.6100001335143999"/>
    <n v="0"/>
    <n v="0.33000001311302202"/>
    <n v="2.9300000667571999"/>
    <n v="3.3599998950958301"/>
    <n v="0"/>
    <n v="5"/>
    <n v="52"/>
    <n v="196"/>
    <n v="788"/>
    <n v="2009"/>
    <x v="0"/>
  </r>
  <r>
    <x v="8"/>
    <x v="18"/>
    <n v="0"/>
    <n v="0"/>
    <n v="0"/>
    <n v="0"/>
    <n v="0"/>
    <n v="0"/>
    <n v="0"/>
    <n v="0"/>
    <n v="0"/>
    <n v="0"/>
    <n v="0"/>
    <n v="425"/>
    <n v="399"/>
    <x v="0"/>
  </r>
  <r>
    <x v="9"/>
    <x v="7"/>
    <n v="890"/>
    <n v="0.60000002384185802"/>
    <n v="0.60000002384185802"/>
    <n v="0"/>
    <n v="0"/>
    <n v="0"/>
    <n v="0.60000002384185802"/>
    <n v="0"/>
    <n v="0"/>
    <n v="0"/>
    <n v="41"/>
    <n v="1399"/>
    <n v="1335"/>
    <x v="0"/>
  </r>
  <r>
    <x v="9"/>
    <x v="8"/>
    <n v="2214"/>
    <n v="1.4900000095367401"/>
    <n v="1.4900000095367401"/>
    <n v="0"/>
    <n v="0"/>
    <n v="0"/>
    <n v="1.4900000095367401"/>
    <n v="0"/>
    <n v="0"/>
    <n v="0"/>
    <n v="197"/>
    <n v="1243"/>
    <n v="1559"/>
    <x v="0"/>
  </r>
  <r>
    <x v="9"/>
    <x v="9"/>
    <n v="7640"/>
    <n v="5.1300001144409197"/>
    <n v="5.1300001144409197"/>
    <n v="0"/>
    <n v="0.18999999761581399"/>
    <n v="0.80000001192092896"/>
    <n v="4.1500000953674299"/>
    <n v="0"/>
    <n v="3"/>
    <n v="15"/>
    <n v="315"/>
    <n v="1107"/>
    <n v="1845"/>
    <x v="0"/>
  </r>
  <r>
    <x v="9"/>
    <x v="10"/>
    <n v="9713"/>
    <n v="6.5300002098083496"/>
    <n v="6.5300002098083496"/>
    <n v="0"/>
    <n v="0.34000000357627902"/>
    <n v="0.88999998569488503"/>
    <n v="5.28999996185303"/>
    <n v="0"/>
    <n v="6"/>
    <n v="24"/>
    <n v="355"/>
    <n v="1055"/>
    <n v="2046"/>
    <x v="0"/>
  </r>
  <r>
    <x v="9"/>
    <x v="11"/>
    <n v="8432"/>
    <n v="5.6700000762939498"/>
    <n v="5.6700000762939498"/>
    <n v="0"/>
    <n v="0"/>
    <n v="0"/>
    <n v="5.6500000953674299"/>
    <n v="9.9999997764825804E-3"/>
    <n v="0"/>
    <n v="0"/>
    <n v="374"/>
    <n v="1066"/>
    <n v="1953"/>
    <x v="0"/>
  </r>
  <r>
    <x v="9"/>
    <x v="12"/>
    <n v="7350"/>
    <n v="4.9400000572204599"/>
    <n v="4.9400000572204599"/>
    <n v="0"/>
    <n v="0"/>
    <n v="0"/>
    <n v="4.9400000572204599"/>
    <n v="0"/>
    <n v="0"/>
    <n v="0"/>
    <n v="382"/>
    <n v="1058"/>
    <n v="1910"/>
    <x v="0"/>
  </r>
  <r>
    <x v="9"/>
    <x v="13"/>
    <n v="9353"/>
    <n v="6.3099999427795401"/>
    <n v="6.3099999427795401"/>
    <n v="0"/>
    <n v="0.37000000476837203"/>
    <n v="0.68999999761581399"/>
    <n v="5.2399997711181596"/>
    <n v="0"/>
    <n v="5"/>
    <n v="17"/>
    <n v="363"/>
    <n v="1055"/>
    <n v="2035"/>
    <x v="0"/>
  </r>
  <r>
    <x v="9"/>
    <x v="14"/>
    <n v="7157"/>
    <n v="4.8099999427795401"/>
    <n v="4.8099999427795401"/>
    <n v="0"/>
    <n v="0"/>
    <n v="0"/>
    <n v="4.8099999427795401"/>
    <n v="0"/>
    <n v="0"/>
    <n v="0"/>
    <n v="380"/>
    <n v="1060"/>
    <n v="1944"/>
    <x v="0"/>
  </r>
  <r>
    <x v="9"/>
    <x v="15"/>
    <n v="14103"/>
    <n v="9.5600004196166992"/>
    <n v="9.5600004196166992"/>
    <n v="0"/>
    <n v="3.0199999809265101"/>
    <n v="0.40999999642372098"/>
    <n v="6.1399998664856001"/>
    <n v="9.9999997764825804E-3"/>
    <n v="46"/>
    <n v="8"/>
    <n v="288"/>
    <n v="1098"/>
    <n v="2257"/>
    <x v="0"/>
  </r>
  <r>
    <x v="9"/>
    <x v="16"/>
    <n v="5290"/>
    <n v="3.5499999523162802"/>
    <n v="3.5499999523162802"/>
    <n v="0"/>
    <n v="3.9999999105930301E-2"/>
    <n v="0.34000000357627902"/>
    <n v="3.1700000762939502"/>
    <n v="0"/>
    <n v="1"/>
    <n v="8"/>
    <n v="251"/>
    <n v="1180"/>
    <n v="1724"/>
    <x v="0"/>
  </r>
  <r>
    <x v="9"/>
    <x v="17"/>
    <n v="7497"/>
    <n v="5.03999996185303"/>
    <n v="5.03999996185303"/>
    <n v="0"/>
    <n v="0"/>
    <n v="0"/>
    <n v="5.03999996185303"/>
    <n v="0"/>
    <n v="0"/>
    <n v="0"/>
    <n v="357"/>
    <n v="882"/>
    <n v="1741"/>
    <x v="0"/>
  </r>
  <r>
    <x v="9"/>
    <x v="18"/>
    <n v="0"/>
    <n v="0"/>
    <n v="0"/>
    <n v="0"/>
    <n v="0"/>
    <n v="0"/>
    <n v="0"/>
    <n v="0"/>
    <n v="0"/>
    <n v="0"/>
    <n v="0"/>
    <n v="1440"/>
    <n v="0"/>
    <x v="0"/>
  </r>
  <r>
    <x v="10"/>
    <x v="4"/>
    <n v="0"/>
    <n v="0"/>
    <n v="0"/>
    <n v="0"/>
    <n v="0"/>
    <n v="0"/>
    <n v="0"/>
    <n v="0"/>
    <n v="0"/>
    <n v="0"/>
    <n v="0"/>
    <n v="1440"/>
    <n v="1920"/>
    <x v="0"/>
  </r>
  <r>
    <x v="10"/>
    <x v="5"/>
    <n v="0"/>
    <n v="0"/>
    <n v="0"/>
    <n v="0"/>
    <n v="0"/>
    <n v="0"/>
    <n v="0"/>
    <n v="0"/>
    <n v="0"/>
    <n v="0"/>
    <n v="0"/>
    <n v="1440"/>
    <n v="1920"/>
    <x v="0"/>
  </r>
  <r>
    <x v="10"/>
    <x v="6"/>
    <n v="0"/>
    <n v="0"/>
    <n v="0"/>
    <n v="0"/>
    <n v="0"/>
    <n v="0"/>
    <n v="0"/>
    <n v="0"/>
    <n v="0"/>
    <n v="0"/>
    <n v="0"/>
    <n v="1440"/>
    <n v="1920"/>
    <x v="0"/>
  </r>
  <r>
    <x v="10"/>
    <x v="7"/>
    <n v="0"/>
    <n v="0"/>
    <n v="0"/>
    <n v="4.8280320167541504"/>
    <n v="0"/>
    <n v="0"/>
    <n v="0"/>
    <n v="0"/>
    <n v="0"/>
    <n v="660"/>
    <n v="0"/>
    <n v="780"/>
    <n v="4562"/>
    <x v="1"/>
  </r>
  <r>
    <x v="10"/>
    <x v="8"/>
    <n v="4126"/>
    <n v="3.2200000286102299"/>
    <n v="0"/>
    <n v="3.21868801116943"/>
    <n v="0"/>
    <n v="0"/>
    <n v="3.2200000286102299"/>
    <n v="0"/>
    <n v="0"/>
    <n v="0"/>
    <n v="720"/>
    <n v="720"/>
    <n v="2881"/>
    <x v="0"/>
  </r>
  <r>
    <x v="10"/>
    <x v="9"/>
    <n v="0"/>
    <n v="0"/>
    <n v="0"/>
    <n v="0"/>
    <n v="0"/>
    <n v="0"/>
    <n v="0"/>
    <n v="0"/>
    <n v="0"/>
    <n v="0"/>
    <n v="0"/>
    <n v="1440"/>
    <n v="1920"/>
    <x v="0"/>
  </r>
  <r>
    <x v="10"/>
    <x v="10"/>
    <n v="0"/>
    <n v="0"/>
    <n v="0"/>
    <n v="0"/>
    <n v="0"/>
    <n v="0"/>
    <n v="0"/>
    <n v="0"/>
    <n v="0"/>
    <n v="0"/>
    <n v="0"/>
    <n v="1440"/>
    <n v="1920"/>
    <x v="0"/>
  </r>
  <r>
    <x v="10"/>
    <x v="11"/>
    <n v="2063"/>
    <n v="1.6100000143051101"/>
    <n v="0"/>
    <n v="1.6093440055847199"/>
    <n v="0"/>
    <n v="0"/>
    <n v="1.6100000143051101"/>
    <n v="0"/>
    <n v="0"/>
    <n v="0"/>
    <n v="630"/>
    <n v="99"/>
    <n v="1144"/>
    <x v="0"/>
  </r>
  <r>
    <x v="11"/>
    <x v="7"/>
    <n v="5785"/>
    <n v="3.9500000476837198"/>
    <n v="3.9500000476837198"/>
    <n v="0"/>
    <n v="0"/>
    <n v="0"/>
    <n v="3.9100000858306898"/>
    <n v="3.9999999105930301E-2"/>
    <n v="0"/>
    <n v="0"/>
    <n v="311"/>
    <n v="1129"/>
    <n v="1852"/>
    <x v="0"/>
  </r>
  <r>
    <x v="11"/>
    <x v="8"/>
    <n v="7625"/>
    <n v="5.2300000190734899"/>
    <n v="5.2300000190734899"/>
    <n v="0"/>
    <n v="1.6799999475479099"/>
    <n v="3.9999999105930301E-2"/>
    <n v="3.5"/>
    <n v="9.9999997764825804E-3"/>
    <n v="24"/>
    <n v="1"/>
    <n v="341"/>
    <n v="1074"/>
    <n v="2069"/>
    <x v="0"/>
  </r>
  <r>
    <x v="11"/>
    <x v="9"/>
    <n v="4706"/>
    <n v="3.21000003814697"/>
    <n v="3.21000003814697"/>
    <n v="0"/>
    <n v="0"/>
    <n v="0"/>
    <n v="3.21000003814697"/>
    <n v="0"/>
    <n v="0"/>
    <n v="0"/>
    <n v="299"/>
    <n v="1141"/>
    <n v="1816"/>
    <x v="0"/>
  </r>
  <r>
    <x v="11"/>
    <x v="10"/>
    <n v="5861"/>
    <n v="4.0199999809265101"/>
    <n v="4.0199999809265101"/>
    <n v="0"/>
    <n v="1.29999995231628"/>
    <n v="0.21999999880790699"/>
    <n v="2.4900000095367401"/>
    <n v="9.9999997764825804E-3"/>
    <n v="20"/>
    <n v="7"/>
    <n v="233"/>
    <n v="1180"/>
    <n v="1878"/>
    <x v="0"/>
  </r>
  <r>
    <x v="11"/>
    <x v="11"/>
    <n v="4460"/>
    <n v="3.03999996185303"/>
    <n v="3.03999996185303"/>
    <n v="0"/>
    <n v="0"/>
    <n v="0"/>
    <n v="3.0199999809265101"/>
    <n v="2.9999999329447701E-2"/>
    <n v="0"/>
    <n v="0"/>
    <n v="248"/>
    <n v="1192"/>
    <n v="1787"/>
    <x v="0"/>
  </r>
  <r>
    <x v="11"/>
    <x v="12"/>
    <n v="6406"/>
    <n v="4.3899998664856001"/>
    <n v="4.3899998664856001"/>
    <n v="0"/>
    <n v="0.77999997138977095"/>
    <n v="9.00000035762787E-2"/>
    <n v="3.5199999809265101"/>
    <n v="9.9999997764825804E-3"/>
    <n v="17"/>
    <n v="4"/>
    <n v="325"/>
    <n v="1094"/>
    <n v="2010"/>
    <x v="0"/>
  </r>
  <r>
    <x v="11"/>
    <x v="13"/>
    <n v="7392"/>
    <n v="5.0999999046325701"/>
    <n v="5.0999999046325701"/>
    <n v="0"/>
    <n v="0.87000000476837203"/>
    <n v="0.15999999642372101"/>
    <n v="4.0500001907348597"/>
    <n v="1.9999999552965199E-2"/>
    <n v="14"/>
    <n v="9"/>
    <n v="332"/>
    <n v="1085"/>
    <n v="2038"/>
    <x v="0"/>
  </r>
  <r>
    <x v="11"/>
    <x v="14"/>
    <n v="5551"/>
    <n v="3.78999996185303"/>
    <n v="3.78999996185303"/>
    <n v="0"/>
    <n v="0"/>
    <n v="0"/>
    <n v="3.7699999809265101"/>
    <n v="9.9999997764825804E-3"/>
    <n v="0"/>
    <n v="0"/>
    <n v="282"/>
    <n v="1158"/>
    <n v="1815"/>
    <x v="0"/>
  </r>
  <r>
    <x v="11"/>
    <x v="15"/>
    <n v="8827"/>
    <n v="6.25"/>
    <n v="6.25"/>
    <n v="0"/>
    <n v="1.7699999809265099"/>
    <n v="0.479999989271164"/>
    <n v="4"/>
    <n v="9.9999997764825804E-3"/>
    <n v="21"/>
    <n v="10"/>
    <n v="346"/>
    <n v="1063"/>
    <n v="2062"/>
    <x v="0"/>
  </r>
  <r>
    <x v="11"/>
    <x v="16"/>
    <n v="4662"/>
    <n v="3.1800000667571999"/>
    <n v="3.1800000667571999"/>
    <n v="0"/>
    <n v="1.03999996185303"/>
    <n v="0.15000000596046401"/>
    <n v="1.9900000095367401"/>
    <n v="0"/>
    <n v="22"/>
    <n v="4"/>
    <n v="152"/>
    <n v="735"/>
    <n v="1276"/>
    <x v="0"/>
  </r>
  <r>
    <x v="12"/>
    <x v="7"/>
    <n v="4499"/>
    <n v="3.0099999904632599"/>
    <n v="3.0099999904632599"/>
    <n v="0"/>
    <n v="0"/>
    <n v="0"/>
    <n v="3.0099999904632599"/>
    <n v="0"/>
    <n v="0"/>
    <n v="0"/>
    <n v="168"/>
    <n v="842"/>
    <n v="1288"/>
    <x v="0"/>
  </r>
  <r>
    <x v="12"/>
    <x v="8"/>
    <n v="7618"/>
    <n v="5.0999999046325701"/>
    <n v="5.0999999046325701"/>
    <n v="0"/>
    <n v="0"/>
    <n v="0.18000000715255701"/>
    <n v="4.9099998474121103"/>
    <n v="0"/>
    <n v="0"/>
    <n v="6"/>
    <n v="302"/>
    <n v="842"/>
    <n v="1490"/>
    <x v="0"/>
  </r>
  <r>
    <x v="12"/>
    <x v="9"/>
    <n v="11508"/>
    <n v="7.6999998092651403"/>
    <n v="7.6999998092651403"/>
    <n v="0"/>
    <n v="2.1700000762939502"/>
    <n v="0.83999997377395597"/>
    <n v="4.6900000572204599"/>
    <n v="0"/>
    <n v="29"/>
    <n v="22"/>
    <n v="282"/>
    <n v="748"/>
    <n v="1630"/>
    <x v="0"/>
  </r>
  <r>
    <x v="12"/>
    <x v="10"/>
    <n v="11943"/>
    <n v="7.9899997711181596"/>
    <n v="7.9899997711181596"/>
    <n v="0"/>
    <n v="1.0299999713897701"/>
    <n v="2.0099999904632599"/>
    <n v="4.9499998092651403"/>
    <n v="0"/>
    <n v="16"/>
    <n v="43"/>
    <n v="297"/>
    <n v="710"/>
    <n v="1648"/>
    <x v="0"/>
  </r>
  <r>
    <x v="12"/>
    <x v="11"/>
    <n v="12303"/>
    <n v="8.2299995422363299"/>
    <n v="8.2299995422363299"/>
    <n v="0"/>
    <n v="1.71000003814697"/>
    <n v="1.3500000238418599"/>
    <n v="5.1700000762939498"/>
    <n v="0"/>
    <n v="26"/>
    <n v="32"/>
    <n v="291"/>
    <n v="605"/>
    <n v="1649"/>
    <x v="0"/>
  </r>
  <r>
    <x v="12"/>
    <x v="12"/>
    <n v="15425"/>
    <n v="10.319999694824199"/>
    <n v="10.319999694824199"/>
    <n v="0"/>
    <n v="1.62000000476837"/>
    <n v="1.8200000524520901"/>
    <n v="6.8699998855590803"/>
    <n v="0"/>
    <n v="24"/>
    <n v="45"/>
    <n v="331"/>
    <n v="614"/>
    <n v="1783"/>
    <x v="0"/>
  </r>
  <r>
    <x v="12"/>
    <x v="13"/>
    <n v="8422"/>
    <n v="5.6300001144409197"/>
    <n v="5.6300001144409197"/>
    <n v="0"/>
    <n v="0"/>
    <n v="3.5999999046325701"/>
    <n v="2.03999996185303"/>
    <n v="0"/>
    <n v="0"/>
    <n v="81"/>
    <n v="139"/>
    <n v="815"/>
    <n v="1431"/>
    <x v="0"/>
  </r>
  <r>
    <x v="12"/>
    <x v="14"/>
    <n v="10226"/>
    <n v="6.8400001525878897"/>
    <n v="6.8400001525878897"/>
    <n v="0"/>
    <n v="0"/>
    <n v="4.4400000572204599"/>
    <n v="2.4000000953674299"/>
    <n v="0"/>
    <n v="0"/>
    <n v="101"/>
    <n v="174"/>
    <n v="685"/>
    <n v="1524"/>
    <x v="0"/>
  </r>
  <r>
    <x v="12"/>
    <x v="15"/>
    <n v="14583"/>
    <n v="9.7600002288818395"/>
    <n v="9.7600002288818395"/>
    <n v="0"/>
    <n v="2.4800000190734899"/>
    <n v="1.7400000095367401"/>
    <n v="5.5300002098083496"/>
    <n v="0"/>
    <n v="35"/>
    <n v="36"/>
    <n v="254"/>
    <n v="697"/>
    <n v="1697"/>
    <x v="0"/>
  </r>
  <r>
    <x v="12"/>
    <x v="16"/>
    <n v="3573"/>
    <n v="2.3900001049041699"/>
    <n v="2.3900001049041699"/>
    <n v="0"/>
    <n v="0.93999999761581399"/>
    <n v="0.40999999642372098"/>
    <n v="0.97000002861022905"/>
    <n v="0"/>
    <n v="15"/>
    <n v="8"/>
    <n v="99"/>
    <n v="866"/>
    <n v="1232"/>
    <x v="0"/>
  </r>
  <r>
    <x v="12"/>
    <x v="17"/>
    <n v="3108"/>
    <n v="2.1400001049041699"/>
    <n v="2.1400001049041699"/>
    <n v="0"/>
    <n v="7.0000000298023196E-2"/>
    <n v="3.9999999105930301E-2"/>
    <n v="1.96000003814697"/>
    <n v="0"/>
    <n v="1"/>
    <n v="1"/>
    <n v="129"/>
    <n v="894"/>
    <n v="1223"/>
    <x v="0"/>
  </r>
  <r>
    <x v="12"/>
    <x v="18"/>
    <n v="759"/>
    <n v="0.56999999284744296"/>
    <n v="0.56999999284744296"/>
    <n v="0"/>
    <n v="0"/>
    <n v="0"/>
    <n v="0.56999999284744296"/>
    <n v="0"/>
    <n v="0"/>
    <n v="0"/>
    <n v="17"/>
    <n v="187"/>
    <n v="182"/>
    <x v="0"/>
  </r>
  <r>
    <x v="13"/>
    <x v="19"/>
    <n v="5543"/>
    <n v="3.9700000286102299"/>
    <n v="3.9700000286102299"/>
    <n v="0"/>
    <n v="0"/>
    <n v="0"/>
    <n v="3.96000003814697"/>
    <n v="9.9999997764825804E-3"/>
    <n v="0"/>
    <n v="0"/>
    <n v="254"/>
    <n v="757"/>
    <n v="2990"/>
    <x v="0"/>
  </r>
  <r>
    <x v="13"/>
    <x v="20"/>
    <n v="3226"/>
    <n v="2.3099999427795401"/>
    <n v="2.3099999427795401"/>
    <n v="0"/>
    <n v="0"/>
    <n v="0"/>
    <n v="2.2799999713897701"/>
    <n v="0"/>
    <n v="0"/>
    <n v="0"/>
    <n v="136"/>
    <n v="771"/>
    <n v="2480"/>
    <x v="0"/>
  </r>
  <r>
    <x v="13"/>
    <x v="21"/>
    <n v="3023"/>
    <n v="2.1700000762939502"/>
    <n v="2.1700000762939502"/>
    <n v="0"/>
    <n v="0"/>
    <n v="0"/>
    <n v="2.1400001049041699"/>
    <n v="0"/>
    <n v="0"/>
    <n v="0"/>
    <n v="145"/>
    <n v="1005"/>
    <n v="2570"/>
    <x v="0"/>
  </r>
  <r>
    <x v="13"/>
    <x v="22"/>
    <n v="5906"/>
    <n v="4.2300000190734899"/>
    <n v="4.2300000190734899"/>
    <n v="0"/>
    <n v="0"/>
    <n v="0.15999999642372101"/>
    <n v="4.03999996185303"/>
    <n v="0"/>
    <n v="0"/>
    <n v="10"/>
    <n v="215"/>
    <n v="874"/>
    <n v="3016"/>
    <x v="0"/>
  </r>
  <r>
    <x v="13"/>
    <x v="23"/>
    <n v="12483"/>
    <n v="8.9899997711181605"/>
    <n v="8.9899997711181605"/>
    <n v="0"/>
    <n v="1.45000004768372"/>
    <n v="0.56999999284744296"/>
    <n v="6.9000000953674299"/>
    <n v="0"/>
    <n v="25"/>
    <n v="14"/>
    <n v="309"/>
    <n v="599"/>
    <n v="3830"/>
    <x v="0"/>
  </r>
  <r>
    <x v="13"/>
    <x v="24"/>
    <n v="8940"/>
    <n v="6.4099998474121103"/>
    <n v="6.4099998474121103"/>
    <n v="0"/>
    <n v="0"/>
    <n v="0"/>
    <n v="0.61000001430511497"/>
    <n v="3.9999999105930301E-2"/>
    <n v="0"/>
    <n v="0"/>
    <n v="47"/>
    <n v="986"/>
    <n v="3706"/>
    <x v="0"/>
  </r>
  <r>
    <x v="13"/>
    <x v="25"/>
    <n v="368"/>
    <n v="0.259999990463257"/>
    <n v="0.259999990463257"/>
    <n v="0"/>
    <n v="0"/>
    <n v="0"/>
    <n v="0"/>
    <n v="0"/>
    <n v="0"/>
    <n v="0"/>
    <n v="0"/>
    <n v="1440"/>
    <n v="2024"/>
    <x v="0"/>
  </r>
  <r>
    <x v="13"/>
    <x v="26"/>
    <n v="5702"/>
    <n v="4.0900001525878897"/>
    <n v="4.0900001525878897"/>
    <n v="0"/>
    <n v="0"/>
    <n v="0"/>
    <n v="0"/>
    <n v="0"/>
    <n v="0"/>
    <n v="0"/>
    <n v="0"/>
    <n v="1440"/>
    <n v="2980"/>
    <x v="0"/>
  </r>
  <r>
    <x v="13"/>
    <x v="27"/>
    <n v="10330"/>
    <n v="7.4099998474121103"/>
    <n v="7.4099998474121103"/>
    <n v="0"/>
    <n v="0"/>
    <n v="0"/>
    <n v="0"/>
    <n v="0"/>
    <n v="0"/>
    <n v="0"/>
    <n v="0"/>
    <n v="1440"/>
    <n v="3728"/>
    <x v="0"/>
  </r>
  <r>
    <x v="13"/>
    <x v="28"/>
    <n v="8778"/>
    <n v="6.28999996185303"/>
    <n v="6.28999996185303"/>
    <n v="0"/>
    <n v="0"/>
    <n v="0"/>
    <n v="0"/>
    <n v="0"/>
    <n v="0"/>
    <n v="0"/>
    <n v="0"/>
    <n v="1440"/>
    <n v="3348"/>
    <x v="0"/>
  </r>
  <r>
    <x v="13"/>
    <x v="29"/>
    <n v="6662"/>
    <n v="4.7800002098083496"/>
    <n v="4.7800002098083496"/>
    <n v="0"/>
    <n v="0"/>
    <n v="0"/>
    <n v="0"/>
    <n v="0"/>
    <n v="0"/>
    <n v="0"/>
    <n v="0"/>
    <n v="1440"/>
    <n v="3162"/>
    <x v="0"/>
  </r>
  <r>
    <x v="13"/>
    <x v="30"/>
    <n v="6309"/>
    <n v="4.5199999809265101"/>
    <n v="4.5199999809265101"/>
    <n v="0"/>
    <n v="0"/>
    <n v="0"/>
    <n v="0"/>
    <n v="0"/>
    <n v="0"/>
    <n v="0"/>
    <n v="0"/>
    <n v="1440"/>
    <n v="3140"/>
    <x v="0"/>
  </r>
  <r>
    <x v="13"/>
    <x v="31"/>
    <n v="1951"/>
    <n v="1.4099999666214"/>
    <n v="1.4099999666214"/>
    <n v="0"/>
    <n v="0"/>
    <n v="0"/>
    <n v="0"/>
    <n v="0"/>
    <n v="0"/>
    <n v="0"/>
    <n v="0"/>
    <n v="1440"/>
    <n v="1980"/>
    <x v="0"/>
  </r>
  <r>
    <x v="13"/>
    <x v="0"/>
    <n v="5563"/>
    <n v="3.9900000095367401"/>
    <n v="3.9900000095367401"/>
    <n v="0"/>
    <n v="0"/>
    <n v="0"/>
    <n v="0"/>
    <n v="0"/>
    <n v="0"/>
    <n v="0"/>
    <n v="0"/>
    <n v="1440"/>
    <n v="3681"/>
    <x v="0"/>
  </r>
  <r>
    <x v="13"/>
    <x v="1"/>
    <n v="4370"/>
    <n v="3.1300001144409202"/>
    <n v="3.1300001144409202"/>
    <n v="0"/>
    <n v="0"/>
    <n v="0"/>
    <n v="0"/>
    <n v="0"/>
    <n v="0"/>
    <n v="0"/>
    <n v="0"/>
    <n v="1440"/>
    <n v="3444"/>
    <x v="0"/>
  </r>
  <r>
    <x v="13"/>
    <x v="2"/>
    <n v="7144"/>
    <n v="5.1199998855590803"/>
    <n v="5.1199998855590803"/>
    <n v="0"/>
    <n v="0"/>
    <n v="0"/>
    <n v="0"/>
    <n v="0"/>
    <n v="0"/>
    <n v="0"/>
    <n v="0"/>
    <n v="1440"/>
    <n v="3510"/>
    <x v="0"/>
  </r>
  <r>
    <x v="13"/>
    <x v="3"/>
    <n v="2106"/>
    <n v="1.5099999904632599"/>
    <n v="1.5099999904632599"/>
    <n v="0"/>
    <n v="1.9999999552965199E-2"/>
    <n v="5.0000000745058101E-2"/>
    <n v="0.20999999344348899"/>
    <n v="0"/>
    <n v="31"/>
    <n v="45"/>
    <n v="75"/>
    <n v="1289"/>
    <n v="4010"/>
    <x v="0"/>
  </r>
  <r>
    <x v="13"/>
    <x v="4"/>
    <n v="4152"/>
    <n v="2.9800000190734899"/>
    <n v="2.9800000190734899"/>
    <n v="0"/>
    <n v="0"/>
    <n v="0"/>
    <n v="2.96000003814697"/>
    <n v="0"/>
    <n v="0"/>
    <n v="0"/>
    <n v="187"/>
    <n v="1253"/>
    <n v="2976"/>
    <x v="0"/>
  </r>
  <r>
    <x v="13"/>
    <x v="5"/>
    <n v="5400"/>
    <n v="3.8699998855590798"/>
    <n v="3.8699998855590798"/>
    <n v="0"/>
    <n v="0"/>
    <n v="0"/>
    <n v="3.8499999046325701"/>
    <n v="0"/>
    <n v="0"/>
    <n v="0"/>
    <n v="258"/>
    <n v="795"/>
    <n v="3418"/>
    <x v="0"/>
  </r>
  <r>
    <x v="13"/>
    <x v="6"/>
    <n v="7428"/>
    <n v="5.3299999237060502"/>
    <n v="5.3299999237060502"/>
    <n v="0"/>
    <n v="0.87000000476837203"/>
    <n v="0.92000001668930098"/>
    <n v="3.5099999904632599"/>
    <n v="0"/>
    <n v="18"/>
    <n v="33"/>
    <n v="261"/>
    <n v="860"/>
    <n v="3439"/>
    <x v="0"/>
  </r>
  <r>
    <x v="13"/>
    <x v="7"/>
    <n v="5351"/>
    <n v="3.8399999141693102"/>
    <n v="3.8399999141693102"/>
    <n v="0"/>
    <n v="0.62000000476837203"/>
    <n v="0.18000000715255701"/>
    <n v="3.0099999904632599"/>
    <n v="0"/>
    <n v="15"/>
    <n v="17"/>
    <n v="210"/>
    <n v="748"/>
    <n v="3338"/>
    <x v="0"/>
  </r>
  <r>
    <x v="13"/>
    <x v="8"/>
    <n v="4299"/>
    <n v="3.0999999046325701"/>
    <n v="3.0999999046325701"/>
    <n v="0"/>
    <n v="9.00000035762787E-2"/>
    <n v="0.20999999344348899"/>
    <n v="2.7400000095367401"/>
    <n v="3.9999999105930301E-2"/>
    <n v="3"/>
    <n v="15"/>
    <n v="162"/>
    <n v="752"/>
    <n v="2892"/>
    <x v="0"/>
  </r>
  <r>
    <x v="13"/>
    <x v="9"/>
    <n v="6107"/>
    <n v="4.3800001144409197"/>
    <n v="4.3800001144409197"/>
    <n v="0"/>
    <n v="0"/>
    <n v="0"/>
    <n v="4.3600001335143999"/>
    <n v="0"/>
    <n v="0"/>
    <n v="0"/>
    <n v="265"/>
    <n v="776"/>
    <n v="3313"/>
    <x v="0"/>
  </r>
  <r>
    <x v="13"/>
    <x v="10"/>
    <n v="6429"/>
    <n v="4.5999999046325701"/>
    <n v="4.5999999046325701"/>
    <n v="0"/>
    <n v="0"/>
    <n v="0.94999998807907104"/>
    <n v="3.6500000953674299"/>
    <n v="0"/>
    <n v="0"/>
    <n v="28"/>
    <n v="193"/>
    <n v="741"/>
    <n v="3118"/>
    <x v="0"/>
  </r>
  <r>
    <x v="13"/>
    <x v="11"/>
    <n v="6880"/>
    <n v="4.9299998283386204"/>
    <n v="4.9299998283386204"/>
    <n v="0"/>
    <n v="0.5"/>
    <n v="0.75999999046325695"/>
    <n v="3.6500000953674299"/>
    <n v="0"/>
    <n v="7"/>
    <n v="19"/>
    <n v="165"/>
    <n v="1249"/>
    <n v="2966"/>
    <x v="0"/>
  </r>
  <r>
    <x v="13"/>
    <x v="12"/>
    <n v="7476"/>
    <n v="5.3600001335143999"/>
    <n v="5.3600001335143999"/>
    <n v="0"/>
    <n v="0"/>
    <n v="0"/>
    <n v="5.3099999427795401"/>
    <n v="0"/>
    <n v="0"/>
    <n v="0"/>
    <n v="263"/>
    <n v="920"/>
    <n v="3253"/>
    <x v="0"/>
  </r>
  <r>
    <x v="13"/>
    <x v="13"/>
    <n v="6581"/>
    <n v="4.7199997901916504"/>
    <n v="4.7199997901916504"/>
    <n v="0"/>
    <n v="0"/>
    <n v="0.28999999165535001"/>
    <n v="4.3899998664856001"/>
    <n v="0"/>
    <n v="0"/>
    <n v="8"/>
    <n v="241"/>
    <n v="1191"/>
    <n v="3032"/>
    <x v="0"/>
  </r>
  <r>
    <x v="13"/>
    <x v="14"/>
    <n v="10480"/>
    <n v="7.5100002288818404"/>
    <n v="7.5100002288818404"/>
    <n v="0"/>
    <n v="0.40999999642372098"/>
    <n v="1.4700000286102299"/>
    <n v="5.0100002288818404"/>
    <n v="3.9999999105930301E-2"/>
    <n v="6"/>
    <n v="37"/>
    <n v="272"/>
    <n v="1125"/>
    <n v="4034"/>
    <x v="0"/>
  </r>
  <r>
    <x v="13"/>
    <x v="15"/>
    <n v="7734"/>
    <n v="5.5500001907348597"/>
    <n v="5.5500001907348597"/>
    <n v="0"/>
    <n v="1.1599999666214"/>
    <n v="0.490000009536743"/>
    <n v="3.8199999332428001"/>
    <n v="5.9999998658895499E-2"/>
    <n v="20"/>
    <n v="12"/>
    <n v="223"/>
    <n v="1185"/>
    <n v="3264"/>
    <x v="0"/>
  </r>
  <r>
    <x v="13"/>
    <x v="16"/>
    <n v="5129"/>
    <n v="3.6800000667571999"/>
    <n v="3.6800000667571999"/>
    <n v="0"/>
    <n v="0.18000000715255701"/>
    <n v="0.239999994635582"/>
    <n v="3.21000003814697"/>
    <n v="9.9999997764825804E-3"/>
    <n v="5"/>
    <n v="7"/>
    <n v="176"/>
    <n v="1178"/>
    <n v="2817"/>
    <x v="0"/>
  </r>
  <r>
    <x v="13"/>
    <x v="17"/>
    <n v="2993"/>
    <n v="2.1500000953674299"/>
    <n v="2.1500000953674299"/>
    <n v="0"/>
    <n v="0"/>
    <n v="0"/>
    <n v="2.0899999141693102"/>
    <n v="0"/>
    <n v="0"/>
    <n v="0"/>
    <n v="114"/>
    <n v="888"/>
    <n v="2507"/>
    <x v="0"/>
  </r>
  <r>
    <x v="13"/>
    <x v="18"/>
    <n v="8"/>
    <n v="9.9999997764825804E-3"/>
    <n v="9.9999997764825804E-3"/>
    <n v="0"/>
    <n v="0"/>
    <n v="0"/>
    <n v="9.9999997764825804E-3"/>
    <n v="0"/>
    <n v="0"/>
    <n v="0"/>
    <n v="1"/>
    <n v="321"/>
    <n v="446"/>
    <x v="0"/>
  </r>
  <r>
    <x v="14"/>
    <x v="19"/>
    <n v="0"/>
    <n v="0"/>
    <n v="0"/>
    <n v="0"/>
    <n v="0"/>
    <n v="0"/>
    <n v="0"/>
    <n v="0"/>
    <n v="0"/>
    <n v="0"/>
    <n v="0"/>
    <n v="1440"/>
    <n v="1777"/>
    <x v="0"/>
  </r>
  <r>
    <x v="14"/>
    <x v="20"/>
    <n v="0"/>
    <n v="0"/>
    <n v="0"/>
    <n v="0"/>
    <n v="0"/>
    <n v="0"/>
    <n v="0"/>
    <n v="0"/>
    <n v="0"/>
    <n v="0"/>
    <n v="0"/>
    <n v="1440"/>
    <n v="1777"/>
    <x v="0"/>
  </r>
  <r>
    <x v="14"/>
    <x v="21"/>
    <n v="8433"/>
    <n v="6.2300000190734899"/>
    <n v="6.2300000190734899"/>
    <n v="0"/>
    <n v="2.4500000476837198"/>
    <n v="0.33000001311302202"/>
    <n v="3.4400000572204599"/>
    <n v="0"/>
    <n v="30"/>
    <n v="7"/>
    <n v="135"/>
    <n v="1268"/>
    <n v="2453"/>
    <x v="0"/>
  </r>
  <r>
    <x v="14"/>
    <x v="22"/>
    <n v="0"/>
    <n v="0"/>
    <n v="0"/>
    <n v="0"/>
    <n v="0"/>
    <n v="0"/>
    <n v="0"/>
    <n v="0"/>
    <n v="0"/>
    <n v="0"/>
    <n v="0"/>
    <n v="1440"/>
    <n v="1776"/>
    <x v="0"/>
  </r>
  <r>
    <x v="14"/>
    <x v="23"/>
    <n v="2139"/>
    <n v="1.5599999427795399"/>
    <n v="1.5599999427795399"/>
    <n v="0"/>
    <n v="0"/>
    <n v="1.29999995231628"/>
    <n v="0.259999990463257"/>
    <n v="0"/>
    <n v="0"/>
    <n v="28"/>
    <n v="15"/>
    <n v="1397"/>
    <n v="1935"/>
    <x v="0"/>
  </r>
  <r>
    <x v="14"/>
    <x v="24"/>
    <n v="0"/>
    <n v="0"/>
    <n v="0"/>
    <n v="0"/>
    <n v="0"/>
    <n v="0"/>
    <n v="0"/>
    <n v="0"/>
    <n v="0"/>
    <n v="0"/>
    <n v="0"/>
    <n v="1440"/>
    <n v="1776"/>
    <x v="0"/>
  </r>
  <r>
    <x v="14"/>
    <x v="25"/>
    <n v="949"/>
    <n v="0.68999999761581399"/>
    <n v="0.68999999761581399"/>
    <n v="0"/>
    <n v="0"/>
    <n v="0"/>
    <n v="0.68999999761581399"/>
    <n v="0"/>
    <n v="0"/>
    <n v="0"/>
    <n v="34"/>
    <n v="1406"/>
    <n v="1870"/>
    <x v="0"/>
  </r>
  <r>
    <x v="14"/>
    <x v="26"/>
    <n v="0"/>
    <n v="0"/>
    <n v="0"/>
    <n v="0"/>
    <n v="0"/>
    <n v="0"/>
    <n v="0"/>
    <n v="0"/>
    <n v="0"/>
    <n v="0"/>
    <n v="0"/>
    <n v="1440"/>
    <n v="1777"/>
    <x v="0"/>
  </r>
  <r>
    <x v="14"/>
    <x v="27"/>
    <n v="44"/>
    <n v="2.9999999329447701E-2"/>
    <n v="2.9999999329447701E-2"/>
    <n v="0"/>
    <n v="0"/>
    <n v="0"/>
    <n v="2.9999999329447701E-2"/>
    <n v="0"/>
    <n v="0"/>
    <n v="0"/>
    <n v="2"/>
    <n v="1438"/>
    <n v="1782"/>
    <x v="0"/>
  </r>
  <r>
    <x v="14"/>
    <x v="28"/>
    <n v="2660"/>
    <n v="1.9400000572204601"/>
    <n v="1.9400000572204601"/>
    <n v="0"/>
    <n v="0"/>
    <n v="0"/>
    <n v="1.9400000572204601"/>
    <n v="0"/>
    <n v="0"/>
    <n v="0"/>
    <n v="46"/>
    <n v="1394"/>
    <n v="1978"/>
    <x v="0"/>
  </r>
  <r>
    <x v="14"/>
    <x v="29"/>
    <n v="5561"/>
    <n v="4.1900000572204599"/>
    <n v="4.1900000572204599"/>
    <n v="0"/>
    <n v="0"/>
    <n v="0"/>
    <n v="4.0700001716613796"/>
    <n v="0"/>
    <n v="0"/>
    <n v="0"/>
    <n v="169"/>
    <n v="1271"/>
    <n v="2296"/>
    <x v="0"/>
  </r>
  <r>
    <x v="14"/>
    <x v="30"/>
    <n v="7239"/>
    <n v="5.3400001525878897"/>
    <n v="5.3400001525878897"/>
    <n v="0"/>
    <n v="0.55000001192092896"/>
    <n v="0.36000001430511502"/>
    <n v="4.3800001144409197"/>
    <n v="0"/>
    <n v="7"/>
    <n v="7"/>
    <n v="190"/>
    <n v="1236"/>
    <n v="2484"/>
    <x v="0"/>
  </r>
  <r>
    <x v="14"/>
    <x v="31"/>
    <n v="7"/>
    <n v="9.9999997764825804E-3"/>
    <n v="9.9999997764825804E-3"/>
    <n v="0"/>
    <n v="0"/>
    <n v="0"/>
    <n v="9.9999997764825804E-3"/>
    <n v="0"/>
    <n v="0"/>
    <n v="0"/>
    <n v="1"/>
    <n v="1439"/>
    <n v="1787"/>
    <x v="0"/>
  </r>
  <r>
    <x v="14"/>
    <x v="0"/>
    <n v="0"/>
    <n v="0"/>
    <n v="0"/>
    <n v="0"/>
    <n v="0"/>
    <n v="0"/>
    <n v="0"/>
    <n v="0"/>
    <n v="0"/>
    <n v="0"/>
    <n v="0"/>
    <n v="1440"/>
    <n v="1776"/>
    <x v="0"/>
  </r>
  <r>
    <x v="14"/>
    <x v="1"/>
    <n v="0"/>
    <n v="0"/>
    <n v="0"/>
    <n v="0"/>
    <n v="0"/>
    <n v="0"/>
    <n v="0"/>
    <n v="0"/>
    <n v="0"/>
    <n v="0"/>
    <n v="0"/>
    <n v="1440"/>
    <n v="1776"/>
    <x v="0"/>
  </r>
  <r>
    <x v="14"/>
    <x v="2"/>
    <n v="2275"/>
    <n v="1.6799999475479099"/>
    <n v="1.6799999475479099"/>
    <n v="0"/>
    <n v="0"/>
    <n v="0"/>
    <n v="1.6599999666214"/>
    <n v="0"/>
    <n v="0"/>
    <n v="0"/>
    <n v="86"/>
    <n v="1354"/>
    <n v="2005"/>
    <x v="0"/>
  </r>
  <r>
    <x v="14"/>
    <x v="3"/>
    <n v="8"/>
    <n v="9.9999997764825804E-3"/>
    <n v="9.9999997764825804E-3"/>
    <n v="0"/>
    <n v="0"/>
    <n v="0"/>
    <n v="9.9999997764825804E-3"/>
    <n v="0"/>
    <n v="0"/>
    <n v="0"/>
    <n v="1"/>
    <n v="1439"/>
    <n v="1778"/>
    <x v="0"/>
  </r>
  <r>
    <x v="14"/>
    <x v="4"/>
    <n v="5137"/>
    <n v="3.7599999904632599"/>
    <n v="3.7599999904632599"/>
    <n v="0"/>
    <n v="0"/>
    <n v="0"/>
    <n v="3.7599999904632599"/>
    <n v="0"/>
    <n v="0"/>
    <n v="0"/>
    <n v="160"/>
    <n v="1280"/>
    <n v="2293"/>
    <x v="0"/>
  </r>
  <r>
    <x v="14"/>
    <x v="5"/>
    <n v="5419"/>
    <n v="4"/>
    <n v="4.5700001716613796"/>
    <n v="5.5842999368906E-2"/>
    <n v="0"/>
    <n v="0"/>
    <n v="3.9100000858306898"/>
    <n v="5.9999998658895499E-2"/>
    <n v="0"/>
    <n v="0"/>
    <n v="145"/>
    <n v="1295"/>
    <n v="2259"/>
    <x v="0"/>
  </r>
  <r>
    <x v="14"/>
    <x v="6"/>
    <n v="0"/>
    <n v="0"/>
    <n v="0"/>
    <n v="0"/>
    <n v="0"/>
    <n v="0"/>
    <n v="0"/>
    <n v="0"/>
    <n v="0"/>
    <n v="0"/>
    <n v="0"/>
    <n v="1440"/>
    <n v="1776"/>
    <x v="0"/>
  </r>
  <r>
    <x v="14"/>
    <x v="7"/>
    <n v="0"/>
    <n v="0"/>
    <n v="0"/>
    <n v="0"/>
    <n v="0"/>
    <n v="0"/>
    <n v="0"/>
    <n v="0"/>
    <n v="0"/>
    <n v="0"/>
    <n v="0"/>
    <n v="1440"/>
    <n v="1776"/>
    <x v="0"/>
  </r>
  <r>
    <x v="14"/>
    <x v="8"/>
    <n v="0"/>
    <n v="0"/>
    <n v="0"/>
    <n v="0"/>
    <n v="0"/>
    <n v="0"/>
    <n v="0"/>
    <n v="0"/>
    <n v="0"/>
    <n v="0"/>
    <n v="0"/>
    <n v="1440"/>
    <n v="1776"/>
    <x v="0"/>
  </r>
  <r>
    <x v="14"/>
    <x v="9"/>
    <n v="0"/>
    <n v="0"/>
    <n v="0"/>
    <n v="0"/>
    <n v="0"/>
    <n v="0"/>
    <n v="0"/>
    <n v="0"/>
    <n v="0"/>
    <n v="0"/>
    <n v="0"/>
    <n v="1440"/>
    <n v="1776"/>
    <x v="0"/>
  </r>
  <r>
    <x v="14"/>
    <x v="10"/>
    <n v="0"/>
    <n v="0"/>
    <n v="0"/>
    <n v="0"/>
    <n v="0"/>
    <n v="0"/>
    <n v="0"/>
    <n v="0"/>
    <n v="0"/>
    <n v="0"/>
    <n v="0"/>
    <n v="1440"/>
    <n v="1776"/>
    <x v="0"/>
  </r>
  <r>
    <x v="14"/>
    <x v="11"/>
    <n v="0"/>
    <n v="0"/>
    <n v="0"/>
    <n v="0"/>
    <n v="0"/>
    <n v="0"/>
    <n v="0"/>
    <n v="0"/>
    <n v="0"/>
    <n v="0"/>
    <n v="0"/>
    <n v="1440"/>
    <n v="1776"/>
    <x v="0"/>
  </r>
  <r>
    <x v="14"/>
    <x v="12"/>
    <n v="18"/>
    <n v="9.9999997764825804E-3"/>
    <n v="9.9999997764825804E-3"/>
    <n v="0"/>
    <n v="0"/>
    <n v="0"/>
    <n v="9.9999997764825804E-3"/>
    <n v="0"/>
    <n v="0"/>
    <n v="0"/>
    <n v="2"/>
    <n v="1438"/>
    <n v="1780"/>
    <x v="0"/>
  </r>
  <r>
    <x v="14"/>
    <x v="13"/>
    <n v="4"/>
    <n v="0"/>
    <n v="0"/>
    <n v="0"/>
    <n v="0"/>
    <n v="0"/>
    <n v="0"/>
    <n v="0"/>
    <n v="0"/>
    <n v="0"/>
    <n v="1"/>
    <n v="1439"/>
    <n v="1778"/>
    <x v="0"/>
  </r>
  <r>
    <x v="14"/>
    <x v="14"/>
    <n v="8426"/>
    <n v="6.1599998474121103"/>
    <n v="6.1599998474121103"/>
    <n v="0"/>
    <n v="0.129999995231628"/>
    <n v="5.4899997711181596"/>
    <n v="0.54000002145767201"/>
    <n v="0"/>
    <n v="2"/>
    <n v="120"/>
    <n v="25"/>
    <n v="1293"/>
    <n v="2360"/>
    <x v="0"/>
  </r>
  <r>
    <x v="14"/>
    <x v="15"/>
    <n v="1650"/>
    <n v="1.21000003814697"/>
    <n v="1.21000003814697"/>
    <n v="0"/>
    <n v="0"/>
    <n v="0"/>
    <n v="1.21000003814697"/>
    <n v="0"/>
    <n v="0"/>
    <n v="0"/>
    <n v="60"/>
    <n v="1380"/>
    <n v="1952"/>
    <x v="0"/>
  </r>
  <r>
    <x v="14"/>
    <x v="16"/>
    <n v="3434"/>
    <n v="2.5099999904632599"/>
    <n v="2.5099999904632599"/>
    <n v="0"/>
    <n v="7.0000000298023196E-2"/>
    <n v="0.30000001192092901"/>
    <n v="2.1400001049041699"/>
    <n v="0"/>
    <n v="1"/>
    <n v="7"/>
    <n v="108"/>
    <n v="1324"/>
    <n v="2101"/>
    <x v="0"/>
  </r>
  <r>
    <x v="14"/>
    <x v="17"/>
    <n v="6801"/>
    <n v="4.9800000190734899"/>
    <n v="4.9800000190734899"/>
    <n v="0"/>
    <n v="0"/>
    <n v="0"/>
    <n v="4.9699997901916504"/>
    <n v="0"/>
    <n v="0"/>
    <n v="0"/>
    <n v="193"/>
    <n v="1247"/>
    <n v="2393"/>
    <x v="0"/>
  </r>
  <r>
    <x v="14"/>
    <x v="18"/>
    <n v="187"/>
    <n v="0.140000000596046"/>
    <n v="0.140000000596046"/>
    <n v="0"/>
    <n v="0"/>
    <n v="0"/>
    <n v="0.140000000596046"/>
    <n v="0"/>
    <n v="0"/>
    <n v="0"/>
    <n v="11"/>
    <n v="400"/>
    <n v="538"/>
    <x v="0"/>
  </r>
  <r>
    <x v="15"/>
    <x v="4"/>
    <n v="5643"/>
    <n v="3.78999996185303"/>
    <n v="3.78999996185303"/>
    <n v="0"/>
    <n v="0.230000004172325"/>
    <n v="0.33000001311302202"/>
    <n v="3.2300000190734899"/>
    <n v="0"/>
    <n v="3"/>
    <n v="8"/>
    <n v="199"/>
    <n v="683"/>
    <n v="1958"/>
    <x v="0"/>
  </r>
  <r>
    <x v="15"/>
    <x v="5"/>
    <n v="9043"/>
    <n v="6.0700001716613796"/>
    <n v="6.0700001716613796"/>
    <n v="0"/>
    <n v="0.25"/>
    <n v="0.43000000715255698"/>
    <n v="5.3699998855590803"/>
    <n v="0"/>
    <n v="4"/>
    <n v="12"/>
    <n v="244"/>
    <n v="702"/>
    <n v="2141"/>
    <x v="0"/>
  </r>
  <r>
    <x v="15"/>
    <x v="6"/>
    <n v="8144"/>
    <n v="5.46000003814697"/>
    <n v="5.46000003814697"/>
    <n v="0"/>
    <n v="0.25"/>
    <n v="0.61000001430511497"/>
    <n v="4.6100001335143999"/>
    <n v="0"/>
    <n v="4"/>
    <n v="17"/>
    <n v="247"/>
    <n v="1125"/>
    <n v="2129"/>
    <x v="0"/>
  </r>
  <r>
    <x v="15"/>
    <x v="7"/>
    <n v="9343"/>
    <n v="6.2699999809265101"/>
    <n v="6.2699999809265101"/>
    <n v="0"/>
    <n v="0.95999997854232799"/>
    <n v="0.85000002384185802"/>
    <n v="4.46000003814697"/>
    <n v="0"/>
    <n v="14"/>
    <n v="20"/>
    <n v="268"/>
    <n v="654"/>
    <n v="2216"/>
    <x v="0"/>
  </r>
  <r>
    <x v="15"/>
    <x v="8"/>
    <n v="8405"/>
    <n v="5.6599998474121103"/>
    <n v="5.6599998474121103"/>
    <n v="0"/>
    <n v="1.12999999523163"/>
    <n v="0.18999999761581399"/>
    <n v="4.3400001525878897"/>
    <n v="0"/>
    <n v="15"/>
    <n v="4"/>
    <n v="257"/>
    <n v="621"/>
    <n v="2154"/>
    <x v="0"/>
  </r>
  <r>
    <x v="15"/>
    <x v="9"/>
    <n v="8223"/>
    <n v="5.5199999809265101"/>
    <n v="5.5199999809265101"/>
    <n v="0"/>
    <n v="0.80000001192092896"/>
    <n v="1.5099999904632599"/>
    <n v="3.21000003814697"/>
    <n v="0"/>
    <n v="12"/>
    <n v="37"/>
    <n v="257"/>
    <n v="551"/>
    <n v="2178"/>
    <x v="0"/>
  </r>
  <r>
    <x v="15"/>
    <x v="10"/>
    <n v="10067"/>
    <n v="6.7600002288818404"/>
    <n v="6.7600002288818404"/>
    <n v="0"/>
    <n v="0.36000001430511502"/>
    <n v="1.41999995708466"/>
    <n v="4.9699997901916504"/>
    <n v="0"/>
    <n v="5"/>
    <n v="39"/>
    <n v="313"/>
    <n v="578"/>
    <n v="2308"/>
    <x v="0"/>
  </r>
  <r>
    <x v="15"/>
    <x v="11"/>
    <n v="8359"/>
    <n v="5.6300001144409197"/>
    <n v="5.6300001144409197"/>
    <n v="0"/>
    <n v="0.230000004172325"/>
    <n v="0.52999997138977095"/>
    <n v="4.8699998855590803"/>
    <n v="0"/>
    <n v="3"/>
    <n v="14"/>
    <n v="311"/>
    <n v="638"/>
    <n v="2201"/>
    <x v="0"/>
  </r>
  <r>
    <x v="15"/>
    <x v="12"/>
    <n v="10946"/>
    <n v="7.3499999046325701"/>
    <n v="7.3499999046325701"/>
    <n v="0"/>
    <n v="0.54000002145767201"/>
    <n v="2.0899999141693102"/>
    <n v="4.7199997901916504"/>
    <n v="0"/>
    <n v="8"/>
    <n v="51"/>
    <n v="308"/>
    <n v="569"/>
    <n v="2341"/>
    <x v="0"/>
  </r>
  <r>
    <x v="15"/>
    <x v="13"/>
    <n v="9130"/>
    <n v="6.1500000953674299"/>
    <n v="6.1500000953674299"/>
    <n v="0"/>
    <n v="0.5"/>
    <n v="0.37999999523162797"/>
    <n v="5.2699999809265101"/>
    <n v="0"/>
    <n v="7"/>
    <n v="11"/>
    <n v="304"/>
    <n v="668"/>
    <n v="2236"/>
    <x v="0"/>
  </r>
  <r>
    <x v="15"/>
    <x v="14"/>
    <n v="6544"/>
    <n v="4.4099998474121103"/>
    <n v="4.4099998474121103"/>
    <n v="0"/>
    <n v="0.28999999165535001"/>
    <n v="0.259999990463257"/>
    <n v="3.8599998950958301"/>
    <n v="0"/>
    <n v="4"/>
    <n v="6"/>
    <n v="276"/>
    <n v="1132"/>
    <n v="2069"/>
    <x v="0"/>
  </r>
  <r>
    <x v="15"/>
    <x v="15"/>
    <n v="0"/>
    <n v="0"/>
    <n v="0"/>
    <n v="0"/>
    <n v="0"/>
    <n v="0"/>
    <n v="0"/>
    <n v="0"/>
    <n v="0"/>
    <n v="0"/>
    <n v="0"/>
    <n v="1440"/>
    <n v="0"/>
    <x v="0"/>
  </r>
  <r>
    <x v="16"/>
    <x v="4"/>
    <n v="0"/>
    <n v="0"/>
    <n v="0"/>
    <n v="0"/>
    <n v="0"/>
    <n v="0"/>
    <n v="0"/>
    <n v="0"/>
    <n v="0"/>
    <n v="0"/>
    <n v="0"/>
    <n v="1440"/>
    <n v="1878"/>
    <x v="0"/>
  </r>
  <r>
    <x v="16"/>
    <x v="5"/>
    <n v="0"/>
    <n v="0"/>
    <n v="0"/>
    <n v="0"/>
    <n v="0"/>
    <n v="0"/>
    <n v="0"/>
    <n v="0"/>
    <n v="0"/>
    <n v="0"/>
    <n v="0"/>
    <n v="1440"/>
    <n v="1878"/>
    <x v="0"/>
  </r>
  <r>
    <x v="16"/>
    <x v="6"/>
    <n v="0"/>
    <n v="0"/>
    <n v="0"/>
    <n v="0"/>
    <n v="0"/>
    <n v="0"/>
    <n v="0"/>
    <n v="0"/>
    <n v="0"/>
    <n v="0"/>
    <n v="0"/>
    <n v="1440"/>
    <n v="1878"/>
    <x v="0"/>
  </r>
  <r>
    <x v="16"/>
    <x v="7"/>
    <n v="0"/>
    <n v="0"/>
    <n v="0"/>
    <n v="0"/>
    <n v="0"/>
    <n v="0"/>
    <n v="0"/>
    <n v="0"/>
    <n v="0"/>
    <n v="0"/>
    <n v="0"/>
    <n v="1440"/>
    <n v="1878"/>
    <x v="0"/>
  </r>
  <r>
    <x v="16"/>
    <x v="8"/>
    <n v="0"/>
    <n v="0"/>
    <n v="0"/>
    <n v="0"/>
    <n v="0"/>
    <n v="0"/>
    <n v="0"/>
    <n v="0"/>
    <n v="0"/>
    <n v="0"/>
    <n v="0"/>
    <n v="1440"/>
    <n v="1878"/>
    <x v="0"/>
  </r>
  <r>
    <x v="16"/>
    <x v="9"/>
    <n v="0"/>
    <n v="0"/>
    <n v="0"/>
    <n v="0"/>
    <n v="0"/>
    <n v="0"/>
    <n v="0"/>
    <n v="0"/>
    <n v="0"/>
    <n v="0"/>
    <n v="0"/>
    <n v="1440"/>
    <n v="1878"/>
    <x v="0"/>
  </r>
  <r>
    <x v="16"/>
    <x v="10"/>
    <n v="0"/>
    <n v="0"/>
    <n v="0"/>
    <n v="0"/>
    <n v="0"/>
    <n v="0"/>
    <n v="0"/>
    <n v="0"/>
    <n v="0"/>
    <n v="0"/>
    <n v="0"/>
    <n v="1440"/>
    <n v="1878"/>
    <x v="0"/>
  </r>
  <r>
    <x v="16"/>
    <x v="11"/>
    <n v="0"/>
    <n v="0"/>
    <n v="0"/>
    <n v="0"/>
    <n v="0"/>
    <n v="0"/>
    <n v="0"/>
    <n v="0"/>
    <n v="0"/>
    <n v="0"/>
    <n v="0"/>
    <n v="994"/>
    <n v="1296"/>
    <x v="0"/>
  </r>
  <r>
    <x v="17"/>
    <x v="4"/>
    <n v="2303"/>
    <n v="1.54999995231628"/>
    <n v="1.54999995231628"/>
    <n v="0"/>
    <n v="0"/>
    <n v="0"/>
    <n v="1.54999995231628"/>
    <n v="0"/>
    <n v="0"/>
    <n v="0"/>
    <n v="155"/>
    <n v="807"/>
    <n v="2010"/>
    <x v="0"/>
  </r>
  <r>
    <x v="17"/>
    <x v="5"/>
    <n v="2600"/>
    <n v="1.7400000095367401"/>
    <n v="1.7400000095367401"/>
    <n v="0"/>
    <n v="0"/>
    <n v="0"/>
    <n v="1.7400000095367401"/>
    <n v="0"/>
    <n v="0"/>
    <n v="0"/>
    <n v="163"/>
    <n v="1277"/>
    <n v="2032"/>
    <x v="0"/>
  </r>
  <r>
    <x v="17"/>
    <x v="6"/>
    <n v="4804"/>
    <n v="3.2200000286102299"/>
    <n v="3.2200000286102299"/>
    <n v="0"/>
    <n v="0"/>
    <n v="0"/>
    <n v="3.2200000286102299"/>
    <n v="0"/>
    <n v="0"/>
    <n v="0"/>
    <n v="238"/>
    <n v="786"/>
    <n v="2227"/>
    <x v="0"/>
  </r>
  <r>
    <x v="17"/>
    <x v="7"/>
    <n v="3271"/>
    <n v="2.1900000572204599"/>
    <n v="2.1900000572204599"/>
    <n v="0"/>
    <n v="0"/>
    <n v="0"/>
    <n v="2.1900000572204599"/>
    <n v="0"/>
    <n v="0"/>
    <n v="0"/>
    <n v="205"/>
    <n v="898"/>
    <n v="2133"/>
    <x v="0"/>
  </r>
  <r>
    <x v="17"/>
    <x v="8"/>
    <n v="5406"/>
    <n v="3.6300001144409202"/>
    <n v="3.6300001144409202"/>
    <n v="0"/>
    <n v="0"/>
    <n v="0"/>
    <n v="3.6099998950958301"/>
    <n v="0"/>
    <n v="0"/>
    <n v="0"/>
    <n v="273"/>
    <n v="672"/>
    <n v="2317"/>
    <x v="0"/>
  </r>
  <r>
    <x v="17"/>
    <x v="9"/>
    <n v="3146"/>
    <n v="2.1099998950958301"/>
    <n v="2.1099998950958301"/>
    <n v="0"/>
    <n v="0"/>
    <n v="0"/>
    <n v="2.1099998950958301"/>
    <n v="0"/>
    <n v="0"/>
    <n v="0"/>
    <n v="171"/>
    <n v="1269"/>
    <n v="2058"/>
    <x v="0"/>
  </r>
  <r>
    <x v="17"/>
    <x v="10"/>
    <n v="2422"/>
    <n v="1.62999999523163"/>
    <n v="1.62999999523163"/>
    <n v="0"/>
    <n v="0"/>
    <n v="0"/>
    <n v="1.62999999523163"/>
    <n v="0"/>
    <n v="0"/>
    <n v="0"/>
    <n v="110"/>
    <n v="1330"/>
    <n v="1935"/>
    <x v="0"/>
  </r>
  <r>
    <x v="17"/>
    <x v="11"/>
    <n v="4239"/>
    <n v="2.8399999141693102"/>
    <n v="2.8399999141693102"/>
    <n v="0"/>
    <n v="5.9999998658895499E-2"/>
    <n v="0.239999994635582"/>
    <n v="2.5299999713897701"/>
    <n v="0"/>
    <n v="1"/>
    <n v="6"/>
    <n v="235"/>
    <n v="702"/>
    <n v="2217"/>
    <x v="0"/>
  </r>
  <r>
    <x v="17"/>
    <x v="12"/>
    <n v="6911"/>
    <n v="4.7800002098083496"/>
    <n v="4.7800002098083496"/>
    <n v="0"/>
    <n v="2.3199999332428001"/>
    <n v="0.10000000149011599"/>
    <n v="2.3599998950958301"/>
    <n v="0"/>
    <n v="28"/>
    <n v="2"/>
    <n v="215"/>
    <n v="745"/>
    <n v="2374"/>
    <x v="0"/>
  </r>
  <r>
    <x v="17"/>
    <x v="13"/>
    <n v="6667"/>
    <n v="4.6100001335143999"/>
    <n v="4.6100001335143999"/>
    <n v="0"/>
    <n v="2.0199999809265101"/>
    <n v="5.0000000745058101E-2"/>
    <n v="2.5499999523162802"/>
    <n v="0"/>
    <n v="24"/>
    <n v="1"/>
    <n v="208"/>
    <n v="939"/>
    <n v="2335"/>
    <x v="0"/>
  </r>
  <r>
    <x v="17"/>
    <x v="14"/>
    <n v="5543"/>
    <n v="3.7200000286102299"/>
    <n v="3.7200000286102299"/>
    <n v="0"/>
    <n v="0"/>
    <n v="0"/>
    <n v="3.7200000286102299"/>
    <n v="0"/>
    <n v="0"/>
    <n v="0"/>
    <n v="266"/>
    <n v="941"/>
    <n v="2303"/>
    <x v="0"/>
  </r>
  <r>
    <x v="17"/>
    <x v="15"/>
    <n v="4195"/>
    <n v="2.8099999427795401"/>
    <n v="2.8099999427795401"/>
    <n v="0"/>
    <n v="0"/>
    <n v="0"/>
    <n v="2.8099999427795401"/>
    <n v="0"/>
    <n v="0"/>
    <n v="0"/>
    <n v="239"/>
    <n v="758"/>
    <n v="2210"/>
    <x v="0"/>
  </r>
  <r>
    <x v="17"/>
    <x v="16"/>
    <n v="6625"/>
    <n v="4.4499998092651403"/>
    <n v="4.4499998092651403"/>
    <n v="0"/>
    <n v="0"/>
    <n v="0"/>
    <n v="4.4499998092651403"/>
    <n v="0"/>
    <n v="0"/>
    <n v="0"/>
    <n v="316"/>
    <n v="755"/>
    <n v="2424"/>
    <x v="0"/>
  </r>
  <r>
    <x v="17"/>
    <x v="17"/>
    <n v="5986"/>
    <n v="4.1300001144409197"/>
    <n v="4.1300001144409197"/>
    <n v="0"/>
    <n v="1.95000004768372"/>
    <n v="0.230000004172325"/>
    <n v="1.95000004768372"/>
    <n v="0"/>
    <n v="23"/>
    <n v="5"/>
    <n v="195"/>
    <n v="789"/>
    <n v="2297"/>
    <x v="0"/>
  </r>
  <r>
    <x v="17"/>
    <x v="18"/>
    <n v="278"/>
    <n v="0.18999999761581399"/>
    <n v="0.18999999761581399"/>
    <n v="0"/>
    <n v="0"/>
    <n v="0"/>
    <n v="0.18999999761581399"/>
    <n v="0"/>
    <n v="0"/>
    <n v="0"/>
    <n v="20"/>
    <n v="253"/>
    <n v="745"/>
    <x v="0"/>
  </r>
  <r>
    <x v="18"/>
    <x v="7"/>
    <n v="5336"/>
    <n v="3.5299999713897701"/>
    <n v="3.5299999713897701"/>
    <n v="0"/>
    <n v="0"/>
    <n v="0"/>
    <n v="3.5299999713897701"/>
    <n v="0"/>
    <n v="0"/>
    <n v="0"/>
    <n v="258"/>
    <n v="1182"/>
    <n v="1902"/>
    <x v="0"/>
  </r>
  <r>
    <x v="18"/>
    <x v="8"/>
    <n v="3183"/>
    <n v="2.0999999046325701"/>
    <n v="2.0999999046325701"/>
    <n v="0"/>
    <n v="0"/>
    <n v="0"/>
    <n v="2.0999999046325701"/>
    <n v="0"/>
    <n v="0"/>
    <n v="0"/>
    <n v="173"/>
    <n v="1180"/>
    <n v="1680"/>
    <x v="0"/>
  </r>
  <r>
    <x v="18"/>
    <x v="9"/>
    <n v="6176"/>
    <n v="4.0799999237060502"/>
    <n v="4.0799999237060502"/>
    <n v="0"/>
    <n v="7.0000000298023196E-2"/>
    <n v="0.259999990463257"/>
    <n v="3.75"/>
    <n v="0"/>
    <n v="1"/>
    <n v="7"/>
    <n v="269"/>
    <n v="886"/>
    <n v="1901"/>
    <x v="0"/>
  </r>
  <r>
    <x v="18"/>
    <x v="10"/>
    <n v="8205"/>
    <n v="5.4200000762939498"/>
    <n v="5.4200000762939498"/>
    <n v="0"/>
    <n v="0"/>
    <n v="0"/>
    <n v="5.4200000762939498"/>
    <n v="0"/>
    <n v="0"/>
    <n v="0"/>
    <n v="367"/>
    <n v="1073"/>
    <n v="2078"/>
    <x v="0"/>
  </r>
  <r>
    <x v="18"/>
    <x v="11"/>
    <n v="6799"/>
    <n v="4.4899997711181596"/>
    <n v="4.4899997711181596"/>
    <n v="0"/>
    <n v="1.5900000333786"/>
    <n v="0.86000001430511497"/>
    <n v="2.03999996185303"/>
    <n v="0"/>
    <n v="24"/>
    <n v="14"/>
    <n v="185"/>
    <n v="1217"/>
    <n v="1876"/>
    <x v="0"/>
  </r>
  <r>
    <x v="18"/>
    <x v="12"/>
    <n v="5668"/>
    <n v="3.75"/>
    <n v="3.75"/>
    <n v="0"/>
    <n v="0"/>
    <n v="0"/>
    <n v="3.75"/>
    <n v="0"/>
    <n v="0"/>
    <n v="0"/>
    <n v="259"/>
    <n v="1181"/>
    <n v="1853"/>
    <x v="0"/>
  </r>
  <r>
    <x v="18"/>
    <x v="13"/>
    <n v="7998"/>
    <n v="5.28999996185303"/>
    <n v="5.28999996185303"/>
    <n v="0"/>
    <n v="0.50999999046325695"/>
    <n v="0.25"/>
    <n v="4.5300002098083496"/>
    <n v="0"/>
    <n v="27"/>
    <n v="12"/>
    <n v="296"/>
    <n v="1105"/>
    <n v="2235"/>
    <x v="0"/>
  </r>
  <r>
    <x v="18"/>
    <x v="14"/>
    <n v="4195"/>
    <n v="2.7699999809265101"/>
    <n v="2.7699999809265101"/>
    <n v="0"/>
    <n v="0"/>
    <n v="0"/>
    <n v="2.7699999809265101"/>
    <n v="0"/>
    <n v="0"/>
    <n v="0"/>
    <n v="241"/>
    <n v="1199"/>
    <n v="1778"/>
    <x v="0"/>
  </r>
  <r>
    <x v="18"/>
    <x v="15"/>
    <n v="5512"/>
    <n v="3.6400001049041699"/>
    <n v="3.6400001049041699"/>
    <n v="0"/>
    <n v="0"/>
    <n v="0"/>
    <n v="3.6400001049041699"/>
    <n v="0"/>
    <n v="0"/>
    <n v="0"/>
    <n v="276"/>
    <n v="1164"/>
    <n v="1882"/>
    <x v="0"/>
  </r>
  <r>
    <x v="18"/>
    <x v="16"/>
    <n v="6263"/>
    <n v="4.1399998664856001"/>
    <n v="4.1399998664856001"/>
    <n v="0"/>
    <n v="0"/>
    <n v="0"/>
    <n v="4.1300001144409197"/>
    <n v="0"/>
    <n v="0"/>
    <n v="0"/>
    <n v="290"/>
    <n v="1150"/>
    <n v="1906"/>
    <x v="0"/>
  </r>
  <r>
    <x v="18"/>
    <x v="17"/>
    <n v="8828"/>
    <n v="5.8400001525878897"/>
    <n v="5.8400001525878897"/>
    <n v="0"/>
    <n v="0"/>
    <n v="0"/>
    <n v="5.8400001525878897"/>
    <n v="0"/>
    <n v="0"/>
    <n v="0"/>
    <n v="308"/>
    <n v="1132"/>
    <n v="2149"/>
    <x v="0"/>
  </r>
  <r>
    <x v="18"/>
    <x v="18"/>
    <n v="1260"/>
    <n v="0.82999998331069902"/>
    <n v="0.82999998331069902"/>
    <n v="0"/>
    <n v="0"/>
    <n v="0"/>
    <n v="0.81999999284744296"/>
    <n v="0"/>
    <n v="0"/>
    <n v="0"/>
    <n v="76"/>
    <n v="555"/>
    <n v="722"/>
    <x v="0"/>
  </r>
  <r>
    <x v="19"/>
    <x v="4"/>
    <n v="6506"/>
    <n v="5.2800002098083496"/>
    <n v="5.2800002098083496"/>
    <n v="0"/>
    <n v="0.33000001311302202"/>
    <n v="0.270000010728836"/>
    <n v="4.6700000762939498"/>
    <n v="0"/>
    <n v="4"/>
    <n v="5"/>
    <n v="241"/>
    <n v="760"/>
    <n v="2886"/>
    <x v="0"/>
  </r>
  <r>
    <x v="19"/>
    <x v="5"/>
    <n v="7583"/>
    <n v="6.1500000953674299"/>
    <n v="6.1500000953674299"/>
    <n v="0"/>
    <n v="0.25"/>
    <n v="0.55000001192092896"/>
    <n v="5.3499999046325701"/>
    <n v="0"/>
    <n v="3"/>
    <n v="13"/>
    <n v="227"/>
    <n v="742"/>
    <n v="2915"/>
    <x v="0"/>
  </r>
  <r>
    <x v="19"/>
    <x v="6"/>
    <n v="6963"/>
    <n v="5.6500000953674299"/>
    <n v="5.6500000953674299"/>
    <n v="0"/>
    <n v="0"/>
    <n v="0"/>
    <n v="5.6500000953674299"/>
    <n v="0"/>
    <n v="0"/>
    <n v="0"/>
    <n v="256"/>
    <n v="759"/>
    <n v="2895"/>
    <x v="0"/>
  </r>
  <r>
    <x v="19"/>
    <x v="7"/>
    <n v="7165"/>
    <n v="5.8099999427795401"/>
    <n v="5.8099999427795401"/>
    <n v="0"/>
    <n v="0"/>
    <n v="0.37000000476837203"/>
    <n v="5.4400000572204599"/>
    <n v="0"/>
    <n v="0"/>
    <n v="9"/>
    <n v="248"/>
    <n v="708"/>
    <n v="2923"/>
    <x v="0"/>
  </r>
  <r>
    <x v="19"/>
    <x v="8"/>
    <n v="10328"/>
    <n v="8.3800001144409197"/>
    <n v="8.3800001144409197"/>
    <n v="0"/>
    <n v="0"/>
    <n v="1.46000003814697"/>
    <n v="6.9200000762939498"/>
    <n v="0"/>
    <n v="0"/>
    <n v="32"/>
    <n v="367"/>
    <n v="475"/>
    <n v="3323"/>
    <x v="0"/>
  </r>
  <r>
    <x v="19"/>
    <x v="9"/>
    <n v="12116"/>
    <n v="9.8299999237060494"/>
    <n v="9.8299999237060494"/>
    <n v="0"/>
    <n v="0.25"/>
    <n v="2.8499999046325701"/>
    <n v="6.7199997901916504"/>
    <n v="0"/>
    <n v="3"/>
    <n v="57"/>
    <n v="323"/>
    <n v="471"/>
    <n v="3357"/>
    <x v="0"/>
  </r>
  <r>
    <x v="19"/>
    <x v="10"/>
    <n v="7810"/>
    <n v="6.3600001335143999"/>
    <n v="6.3600001335143999"/>
    <n v="0"/>
    <n v="0.479999989271164"/>
    <n v="1.20000004768372"/>
    <n v="4.6799998283386204"/>
    <n v="0"/>
    <n v="6"/>
    <n v="27"/>
    <n v="216"/>
    <n v="746"/>
    <n v="2931"/>
    <x v="0"/>
  </r>
  <r>
    <x v="19"/>
    <x v="11"/>
    <n v="6670"/>
    <n v="5.4099998474121103"/>
    <n v="5.4099998474121103"/>
    <n v="0"/>
    <n v="1.2400000095367401"/>
    <n v="0.80000001192092896"/>
    <n v="3.3699998855590798"/>
    <n v="0"/>
    <n v="15"/>
    <n v="16"/>
    <n v="199"/>
    <n v="770"/>
    <n v="2848"/>
    <x v="0"/>
  </r>
  <r>
    <x v="19"/>
    <x v="12"/>
    <n v="7605"/>
    <n v="6.1799998283386204"/>
    <n v="6.1799998283386204"/>
    <n v="0"/>
    <n v="0.33000001311302202"/>
    <n v="0.20999999344348899"/>
    <n v="5.6300001144409197"/>
    <n v="0"/>
    <n v="4"/>
    <n v="4"/>
    <n v="248"/>
    <n v="708"/>
    <n v="2943"/>
    <x v="0"/>
  </r>
  <r>
    <x v="19"/>
    <x v="13"/>
    <n v="6585"/>
    <n v="5.3400001525878897"/>
    <n v="5.3400001525878897"/>
    <n v="0"/>
    <n v="0"/>
    <n v="0"/>
    <n v="5.3400001525878897"/>
    <n v="0"/>
    <n v="0"/>
    <n v="0"/>
    <n v="210"/>
    <n v="770"/>
    <n v="2822"/>
    <x v="0"/>
  </r>
  <r>
    <x v="19"/>
    <x v="14"/>
    <n v="8184"/>
    <n v="6.6399998664856001"/>
    <n v="6.6399998664856001"/>
    <n v="0"/>
    <n v="0"/>
    <n v="0.62000000476837203"/>
    <n v="5.9499998092651403"/>
    <n v="0"/>
    <n v="0"/>
    <n v="15"/>
    <n v="247"/>
    <n v="808"/>
    <n v="2981"/>
    <x v="0"/>
  </r>
  <r>
    <x v="19"/>
    <x v="15"/>
    <n v="14002"/>
    <n v="11.3599996566772"/>
    <n v="11.3599996566772"/>
    <n v="0"/>
    <n v="0.61000001430511497"/>
    <n v="2.6800000667571999"/>
    <n v="8.0600004196166992"/>
    <n v="0"/>
    <n v="8"/>
    <n v="56"/>
    <n v="381"/>
    <n v="407"/>
    <n v="3597"/>
    <x v="0"/>
  </r>
  <r>
    <x v="19"/>
    <x v="16"/>
    <n v="11135"/>
    <n v="9.0299997329711896"/>
    <n v="9.0299997329711896"/>
    <n v="0"/>
    <n v="7.9999998211860698E-2"/>
    <n v="1.1599999666214"/>
    <n v="7.78999996185303"/>
    <n v="0"/>
    <n v="1"/>
    <n v="25"/>
    <n v="331"/>
    <n v="528"/>
    <n v="3224"/>
    <x v="0"/>
  </r>
  <r>
    <x v="19"/>
    <x v="17"/>
    <n v="6499"/>
    <n v="5.2699999809265101"/>
    <n v="5.2699999809265101"/>
    <n v="0"/>
    <n v="0"/>
    <n v="0"/>
    <n v="5.2699999809265101"/>
    <n v="0"/>
    <n v="0"/>
    <n v="0"/>
    <n v="207"/>
    <n v="809"/>
    <n v="2677"/>
    <x v="0"/>
  </r>
  <r>
    <x v="19"/>
    <x v="18"/>
    <n v="0"/>
    <n v="0"/>
    <n v="0"/>
    <n v="0"/>
    <n v="0"/>
    <n v="0"/>
    <n v="0"/>
    <n v="0"/>
    <n v="0"/>
    <n v="0"/>
    <n v="0"/>
    <n v="1440"/>
    <n v="0"/>
    <x v="0"/>
  </r>
  <r>
    <x v="20"/>
    <x v="7"/>
    <n v="12409"/>
    <n v="8.1000003814697301"/>
    <n v="8.1000003814697301"/>
    <n v="0"/>
    <n v="2.9000000953674299"/>
    <n v="0.62999999523162797"/>
    <n v="4.5799999237060502"/>
    <n v="0"/>
    <n v="51"/>
    <n v="12"/>
    <n v="235"/>
    <n v="782"/>
    <n v="2142"/>
    <x v="0"/>
  </r>
  <r>
    <x v="20"/>
    <x v="8"/>
    <n v="2937"/>
    <n v="1.91999995708466"/>
    <n v="1.91999995708466"/>
    <n v="0"/>
    <n v="0"/>
    <n v="0"/>
    <n v="1.9099999666214"/>
    <n v="0"/>
    <n v="0"/>
    <n v="0"/>
    <n v="181"/>
    <n v="356"/>
    <n v="1615"/>
    <x v="0"/>
  </r>
  <r>
    <x v="20"/>
    <x v="9"/>
    <n v="1515"/>
    <n v="0.99000000953674305"/>
    <n v="0.99000000953674305"/>
    <n v="0"/>
    <n v="0"/>
    <n v="0"/>
    <n v="0.99000000953674305"/>
    <n v="0"/>
    <n v="0"/>
    <n v="0"/>
    <n v="93"/>
    <n v="507"/>
    <n v="1481"/>
    <x v="0"/>
  </r>
  <r>
    <x v="20"/>
    <x v="10"/>
    <n v="8921"/>
    <n v="5.8800001144409197"/>
    <n v="5.8800001144409197"/>
    <n v="0"/>
    <n v="2.0699999332428001"/>
    <n v="0.43999999761581399"/>
    <n v="3.3599998950958301"/>
    <n v="0"/>
    <n v="27"/>
    <n v="8"/>
    <n v="198"/>
    <n v="754"/>
    <n v="1892"/>
    <x v="0"/>
  </r>
  <r>
    <x v="20"/>
    <x v="11"/>
    <n v="11306"/>
    <n v="7.3800001144409197"/>
    <n v="7.3800001144409197"/>
    <n v="0"/>
    <n v="2.3099999427795401"/>
    <n v="0.980000019073486"/>
    <n v="4.0900001525878897"/>
    <n v="0"/>
    <n v="40"/>
    <n v="26"/>
    <n v="218"/>
    <n v="772"/>
    <n v="2086"/>
    <x v="0"/>
  </r>
  <r>
    <x v="20"/>
    <x v="12"/>
    <n v="12252"/>
    <n v="8"/>
    <n v="8"/>
    <n v="0"/>
    <n v="2.4100000858306898"/>
    <n v="1.70000004768372"/>
    <n v="3.8900001049041699"/>
    <n v="0"/>
    <n v="33"/>
    <n v="28"/>
    <n v="229"/>
    <n v="745"/>
    <n v="2044"/>
    <x v="0"/>
  </r>
  <r>
    <x v="20"/>
    <x v="13"/>
    <n v="15444"/>
    <n v="10.079999923706101"/>
    <n v="10.079999923706101"/>
    <n v="0"/>
    <n v="3.2699999809265101"/>
    <n v="1.7300000190734901"/>
    <n v="5.0799999237060502"/>
    <n v="0"/>
    <n v="51"/>
    <n v="39"/>
    <n v="243"/>
    <n v="731"/>
    <n v="2249"/>
    <x v="0"/>
  </r>
  <r>
    <x v="20"/>
    <x v="14"/>
    <n v="9938"/>
    <n v="6.4899997711181596"/>
    <n v="6.4899997711181596"/>
    <n v="0"/>
    <n v="2.1400001049041699"/>
    <n v="1.2799999713897701"/>
    <n v="3.0799999237060498"/>
    <n v="0"/>
    <n v="38"/>
    <n v="24"/>
    <n v="193"/>
    <n v="767"/>
    <n v="2019"/>
    <x v="0"/>
  </r>
  <r>
    <x v="20"/>
    <x v="15"/>
    <n v="4599"/>
    <n v="3"/>
    <n v="3"/>
    <n v="0"/>
    <n v="0"/>
    <n v="0"/>
    <n v="3"/>
    <n v="0"/>
    <n v="0"/>
    <n v="0"/>
    <n v="176"/>
    <n v="578"/>
    <n v="1692"/>
    <x v="0"/>
  </r>
  <r>
    <x v="20"/>
    <x v="16"/>
    <n v="5594"/>
    <n v="3.6500000953674299"/>
    <n v="3.6500000953674299"/>
    <n v="0"/>
    <n v="0.28000000119209301"/>
    <n v="1.4800000190734901"/>
    <n v="1.8899999856948899"/>
    <n v="0"/>
    <n v="4"/>
    <n v="25"/>
    <n v="150"/>
    <n v="552"/>
    <n v="1712"/>
    <x v="0"/>
  </r>
  <r>
    <x v="20"/>
    <x v="17"/>
    <n v="11906"/>
    <n v="7.7699999809265101"/>
    <n v="7.7699999809265101"/>
    <n v="0"/>
    <n v="2.2599999904632599"/>
    <n v="1.5199999809265099"/>
    <n v="3.9900000095367401"/>
    <n v="0"/>
    <n v="32"/>
    <n v="27"/>
    <n v="234"/>
    <n v="688"/>
    <n v="2065"/>
    <x v="0"/>
  </r>
  <r>
    <x v="20"/>
    <x v="18"/>
    <n v="3436"/>
    <n v="2.2400000095367401"/>
    <n v="2.2400000095367401"/>
    <n v="0"/>
    <n v="0.5"/>
    <n v="0.67000001668930098"/>
    <n v="1.04999995231628"/>
    <n v="0"/>
    <n v="7"/>
    <n v="11"/>
    <n v="50"/>
    <n v="61"/>
    <n v="633"/>
    <x v="0"/>
  </r>
  <r>
    <x v="21"/>
    <x v="7"/>
    <n v="10461"/>
    <n v="7.8699998855590803"/>
    <n v="7.8699998855590803"/>
    <n v="0"/>
    <n v="4.7600002288818404"/>
    <n v="0.85000002384185802"/>
    <n v="2.25"/>
    <n v="0"/>
    <n v="99"/>
    <n v="31"/>
    <n v="142"/>
    <n v="721"/>
    <n v="3625"/>
    <x v="0"/>
  </r>
  <r>
    <x v="21"/>
    <x v="8"/>
    <n v="14873"/>
    <n v="11.1099996566772"/>
    <n v="11.1099996566772"/>
    <n v="0"/>
    <n v="8.1899995803833008"/>
    <n v="0.60000002384185802"/>
    <n v="2.3099999427795401"/>
    <n v="0"/>
    <n v="202"/>
    <n v="36"/>
    <n v="153"/>
    <n v="663"/>
    <n v="4430"/>
    <x v="0"/>
  </r>
  <r>
    <x v="21"/>
    <x v="9"/>
    <n v="9917"/>
    <n v="7.4099998474121103"/>
    <n v="7.4099998474121103"/>
    <n v="0"/>
    <n v="1.9900000095367401"/>
    <n v="0.97000002861022905"/>
    <n v="4.4400000572204599"/>
    <n v="0"/>
    <n v="58"/>
    <n v="27"/>
    <n v="240"/>
    <n v="700"/>
    <n v="3427"/>
    <x v="0"/>
  </r>
  <r>
    <x v="21"/>
    <x v="10"/>
    <n v="7401"/>
    <n v="5.5599999427795401"/>
    <n v="5.5599999427795401"/>
    <n v="0"/>
    <n v="2.3199999332428001"/>
    <n v="0.36000001430511502"/>
    <n v="2.8800001144409202"/>
    <n v="0"/>
    <n v="70"/>
    <n v="19"/>
    <n v="204"/>
    <n v="689"/>
    <n v="3492"/>
    <x v="0"/>
  </r>
  <r>
    <x v="21"/>
    <x v="11"/>
    <n v="8964"/>
    <n v="6.6999998092651403"/>
    <n v="6.6999998092651403"/>
    <n v="0"/>
    <n v="3.9700000286102299"/>
    <n v="0.18999999761581399"/>
    <n v="2.5299999713897701"/>
    <n v="0"/>
    <n v="107"/>
    <n v="18"/>
    <n v="145"/>
    <n v="756"/>
    <n v="3597"/>
    <x v="0"/>
  </r>
  <r>
    <x v="21"/>
    <x v="12"/>
    <n v="11080"/>
    <n v="8.3000001907348597"/>
    <n v="8.3000001907348597"/>
    <n v="0"/>
    <n v="3.1300001144409202"/>
    <n v="1.37000000476837"/>
    <n v="3.8099999427795401"/>
    <n v="0"/>
    <n v="83"/>
    <n v="52"/>
    <n v="190"/>
    <n v="695"/>
    <n v="3765"/>
    <x v="0"/>
  </r>
  <r>
    <x v="21"/>
    <x v="13"/>
    <n v="4499"/>
    <n v="3.3599998950958301"/>
    <n v="3.3599998950958301"/>
    <n v="0"/>
    <n v="0.88999998569488503"/>
    <n v="0.259999990463257"/>
    <n v="2.21000003814697"/>
    <n v="0"/>
    <n v="31"/>
    <n v="11"/>
    <n v="146"/>
    <n v="756"/>
    <n v="2775"/>
    <x v="0"/>
  </r>
  <r>
    <x v="21"/>
    <x v="14"/>
    <n v="4363"/>
    <n v="3.2599999904632599"/>
    <n v="3.2599999904632599"/>
    <n v="0"/>
    <n v="0.129999995231628"/>
    <n v="5.9999998658895499E-2"/>
    <n v="3.0799999237060498"/>
    <n v="0"/>
    <n v="8"/>
    <n v="2"/>
    <n v="156"/>
    <n v="813"/>
    <n v="2486"/>
    <x v="0"/>
  </r>
  <r>
    <x v="21"/>
    <x v="15"/>
    <n v="10494"/>
    <n v="7.8400001525878897"/>
    <n v="7.8400001525878897"/>
    <n v="0"/>
    <n v="4.9099998474121103"/>
    <n v="0.77999997138977095"/>
    <n v="2.1500000953674299"/>
    <n v="0"/>
    <n v="123"/>
    <n v="62"/>
    <n v="138"/>
    <n v="601"/>
    <n v="3817"/>
    <x v="0"/>
  </r>
  <r>
    <x v="21"/>
    <x v="16"/>
    <n v="9776"/>
    <n v="7.3800001144409197"/>
    <n v="7.3800001144409197"/>
    <n v="0"/>
    <n v="2.9300000667571999"/>
    <n v="1.4299999475479099"/>
    <n v="3.0199999809265101"/>
    <n v="0"/>
    <n v="80"/>
    <n v="35"/>
    <n v="162"/>
    <n v="721"/>
    <n v="3378"/>
    <x v="0"/>
  </r>
  <r>
    <x v="21"/>
    <x v="17"/>
    <n v="2862"/>
    <n v="2.1400001049041699"/>
    <n v="2.1400001049041699"/>
    <n v="0"/>
    <n v="1.03999996185303"/>
    <n v="0.25"/>
    <n v="0.83999997377395597"/>
    <n v="0"/>
    <n v="39"/>
    <n v="17"/>
    <n v="54"/>
    <n v="209"/>
    <n v="1511"/>
    <x v="0"/>
  </r>
  <r>
    <x v="22"/>
    <x v="7"/>
    <n v="7444"/>
    <n v="5.6199998855590803"/>
    <n v="5.6199998855590803"/>
    <n v="0"/>
    <n v="0"/>
    <n v="0"/>
    <n v="5.6199998855590803"/>
    <n v="0"/>
    <n v="0"/>
    <n v="0"/>
    <n v="286"/>
    <n v="568"/>
    <n v="2210"/>
    <x v="0"/>
  </r>
  <r>
    <x v="22"/>
    <x v="8"/>
    <n v="19658"/>
    <n v="14.8400001525879"/>
    <n v="14.8400001525879"/>
    <n v="0"/>
    <n v="0.239999994635582"/>
    <n v="2.0899999141693102"/>
    <n v="12.5100002288818"/>
    <n v="0"/>
    <n v="3"/>
    <n v="30"/>
    <n v="475"/>
    <n v="466"/>
    <n v="2884"/>
    <x v="0"/>
  </r>
  <r>
    <x v="22"/>
    <x v="9"/>
    <n v="0"/>
    <n v="0"/>
    <n v="0"/>
    <n v="0"/>
    <n v="0"/>
    <n v="0"/>
    <n v="0"/>
    <n v="0"/>
    <n v="0"/>
    <n v="0"/>
    <n v="0"/>
    <n v="1440"/>
    <n v="1496"/>
    <x v="0"/>
  </r>
  <r>
    <x v="22"/>
    <x v="10"/>
    <n v="8468"/>
    <n v="6.3899998664856001"/>
    <n v="6.3899998664856001"/>
    <n v="0"/>
    <n v="0.18000000715255701"/>
    <n v="0.63999998569488503"/>
    <n v="5.5700001716613796"/>
    <n v="0"/>
    <n v="2"/>
    <n v="11"/>
    <n v="279"/>
    <n v="1148"/>
    <n v="2262"/>
    <x v="0"/>
  </r>
  <r>
    <x v="22"/>
    <x v="11"/>
    <n v="9910"/>
    <n v="7.4800000190734899"/>
    <n v="7.4800000190734899"/>
    <n v="0"/>
    <n v="0"/>
    <n v="0"/>
    <n v="7.4800000190734899"/>
    <n v="0"/>
    <n v="0"/>
    <n v="0"/>
    <n v="384"/>
    <n v="990"/>
    <n v="2445"/>
    <x v="0"/>
  </r>
  <r>
    <x v="22"/>
    <x v="12"/>
    <n v="12409"/>
    <n v="9.3699998855590803"/>
    <n v="9.3699998855590803"/>
    <n v="0"/>
    <n v="0"/>
    <n v="0"/>
    <n v="9.3699998855590803"/>
    <n v="0"/>
    <n v="0"/>
    <n v="0"/>
    <n v="491"/>
    <n v="388"/>
    <n v="2694"/>
    <x v="0"/>
  </r>
  <r>
    <x v="22"/>
    <x v="13"/>
    <n v="4853"/>
    <n v="3.6600000858306898"/>
    <n v="3.6600000858306898"/>
    <n v="0"/>
    <n v="0"/>
    <n v="0"/>
    <n v="3.6600000858306898"/>
    <n v="0"/>
    <n v="0"/>
    <n v="0"/>
    <n v="156"/>
    <n v="770"/>
    <n v="1903"/>
    <x v="0"/>
  </r>
  <r>
    <x v="22"/>
    <x v="14"/>
    <n v="8955"/>
    <n v="6.7600002288818404"/>
    <n v="6.7600002288818404"/>
    <n v="0"/>
    <n v="0"/>
    <n v="0"/>
    <n v="6.7300000190734899"/>
    <n v="0"/>
    <n v="0"/>
    <n v="0"/>
    <n v="422"/>
    <n v="1018"/>
    <n v="2482"/>
    <x v="0"/>
  </r>
  <r>
    <x v="22"/>
    <x v="15"/>
    <n v="10789"/>
    <n v="8.1499996185302699"/>
    <n v="8.1499996185302699"/>
    <n v="0"/>
    <n v="0"/>
    <n v="0"/>
    <n v="8.1499996185302699"/>
    <n v="0"/>
    <n v="0"/>
    <n v="0"/>
    <n v="506"/>
    <n v="413"/>
    <n v="2617"/>
    <x v="0"/>
  </r>
  <r>
    <x v="22"/>
    <x v="16"/>
    <n v="0"/>
    <n v="0"/>
    <n v="0"/>
    <n v="0"/>
    <n v="0"/>
    <n v="0"/>
    <n v="0"/>
    <n v="0"/>
    <n v="0"/>
    <n v="0"/>
    <n v="0"/>
    <n v="1440"/>
    <n v="0"/>
    <x v="0"/>
  </r>
  <r>
    <x v="23"/>
    <x v="7"/>
    <n v="6633"/>
    <n v="5.0100002288818404"/>
    <n v="5.0100002288818404"/>
    <n v="0"/>
    <n v="0"/>
    <n v="0"/>
    <n v="5.0100002288818404"/>
    <n v="0"/>
    <n v="0"/>
    <n v="0"/>
    <n v="280"/>
    <n v="1160"/>
    <n v="2778"/>
    <x v="0"/>
  </r>
  <r>
    <x v="23"/>
    <x v="8"/>
    <n v="9548"/>
    <n v="7.2199997901916504"/>
    <n v="7.2199997901916504"/>
    <n v="0"/>
    <n v="2.0199999809265101"/>
    <n v="3.6800000667571999"/>
    <n v="1.5199999809265099"/>
    <n v="0"/>
    <n v="25"/>
    <n v="107"/>
    <n v="113"/>
    <n v="1195"/>
    <n v="3119"/>
    <x v="0"/>
  </r>
  <r>
    <x v="23"/>
    <x v="9"/>
    <n v="0"/>
    <n v="0"/>
    <n v="0"/>
    <n v="0"/>
    <n v="0"/>
    <n v="0"/>
    <n v="0"/>
    <n v="0"/>
    <n v="33"/>
    <n v="0"/>
    <n v="0"/>
    <n v="1407"/>
    <n v="2664"/>
    <x v="0"/>
  </r>
  <r>
    <x v="23"/>
    <x v="10"/>
    <n v="0"/>
    <n v="0"/>
    <n v="0"/>
    <n v="0"/>
    <n v="0"/>
    <n v="0"/>
    <n v="0"/>
    <n v="0"/>
    <n v="0"/>
    <n v="0"/>
    <n v="0"/>
    <n v="1440"/>
    <n v="2060"/>
    <x v="0"/>
  </r>
  <r>
    <x v="23"/>
    <x v="11"/>
    <n v="0"/>
    <n v="0"/>
    <n v="0"/>
    <n v="0"/>
    <n v="0"/>
    <n v="0"/>
    <n v="0"/>
    <n v="0"/>
    <n v="0"/>
    <n v="0"/>
    <n v="0"/>
    <n v="1440"/>
    <n v="2060"/>
    <x v="0"/>
  </r>
  <r>
    <x v="23"/>
    <x v="12"/>
    <n v="0"/>
    <n v="0"/>
    <n v="0"/>
    <n v="0"/>
    <n v="0"/>
    <n v="0"/>
    <n v="0"/>
    <n v="0"/>
    <n v="0"/>
    <n v="0"/>
    <n v="0"/>
    <n v="1440"/>
    <n v="2060"/>
    <x v="0"/>
  </r>
  <r>
    <x v="23"/>
    <x v="13"/>
    <n v="0"/>
    <n v="0"/>
    <n v="0"/>
    <n v="0"/>
    <n v="0"/>
    <n v="0"/>
    <n v="0"/>
    <n v="0"/>
    <n v="0"/>
    <n v="0"/>
    <n v="0"/>
    <n v="1440"/>
    <n v="2060"/>
    <x v="0"/>
  </r>
  <r>
    <x v="23"/>
    <x v="14"/>
    <n v="0"/>
    <n v="0"/>
    <n v="0"/>
    <n v="0"/>
    <n v="0"/>
    <n v="0"/>
    <n v="0"/>
    <n v="0"/>
    <n v="0"/>
    <n v="0"/>
    <n v="0"/>
    <n v="1440"/>
    <n v="2060"/>
    <x v="0"/>
  </r>
  <r>
    <x v="23"/>
    <x v="15"/>
    <n v="0"/>
    <n v="0"/>
    <n v="0"/>
    <n v="0"/>
    <n v="0"/>
    <n v="0"/>
    <n v="0"/>
    <n v="0"/>
    <n v="0"/>
    <n v="0"/>
    <n v="0"/>
    <n v="1440"/>
    <n v="2060"/>
    <x v="0"/>
  </r>
  <r>
    <x v="23"/>
    <x v="16"/>
    <n v="0"/>
    <n v="0"/>
    <n v="0"/>
    <n v="0"/>
    <n v="0"/>
    <n v="0"/>
    <n v="0"/>
    <n v="0"/>
    <n v="20"/>
    <n v="0"/>
    <n v="0"/>
    <n v="494"/>
    <n v="735"/>
    <x v="0"/>
  </r>
  <r>
    <x v="24"/>
    <x v="7"/>
    <n v="0"/>
    <n v="0"/>
    <n v="0"/>
    <n v="0"/>
    <n v="0"/>
    <n v="0"/>
    <n v="0"/>
    <n v="0"/>
    <n v="0"/>
    <n v="0"/>
    <n v="0"/>
    <n v="1440"/>
    <n v="1820"/>
    <x v="0"/>
  </r>
  <r>
    <x v="24"/>
    <x v="8"/>
    <n v="2101"/>
    <n v="2.0299999713897701"/>
    <n v="0"/>
    <n v="2.0277729034423801"/>
    <n v="2.0299999713897701"/>
    <n v="0"/>
    <n v="0"/>
    <n v="0"/>
    <n v="46"/>
    <n v="0"/>
    <n v="0"/>
    <n v="1394"/>
    <n v="2224"/>
    <x v="0"/>
  </r>
  <r>
    <x v="24"/>
    <x v="9"/>
    <n v="0"/>
    <n v="0"/>
    <n v="0"/>
    <n v="0"/>
    <n v="0"/>
    <n v="0"/>
    <n v="0"/>
    <n v="0"/>
    <n v="0"/>
    <n v="0"/>
    <n v="0"/>
    <n v="1440"/>
    <n v="1820"/>
    <x v="0"/>
  </r>
  <r>
    <x v="24"/>
    <x v="10"/>
    <n v="0"/>
    <n v="0"/>
    <n v="0"/>
    <n v="0"/>
    <n v="0"/>
    <n v="0"/>
    <n v="0"/>
    <n v="0"/>
    <n v="0"/>
    <n v="0"/>
    <n v="0"/>
    <n v="1440"/>
    <n v="1820"/>
    <x v="0"/>
  </r>
  <r>
    <x v="24"/>
    <x v="11"/>
    <n v="9766"/>
    <n v="7.5100002288818404"/>
    <n v="0.77999997138977095"/>
    <n v="6.7270569801330602"/>
    <n v="0"/>
    <n v="5.0000000745058101E-2"/>
    <n v="7.46000003814697"/>
    <n v="0"/>
    <n v="0"/>
    <n v="6"/>
    <n v="301"/>
    <n v="1133"/>
    <n v="2442"/>
    <x v="0"/>
  </r>
  <r>
    <x v="24"/>
    <x v="12"/>
    <n v="165"/>
    <n v="0.129999995231628"/>
    <n v="0.129999995231628"/>
    <n v="0"/>
    <n v="0"/>
    <n v="0"/>
    <n v="0.129999995231628"/>
    <n v="0"/>
    <n v="0"/>
    <n v="0"/>
    <n v="8"/>
    <n v="1432"/>
    <n v="1849"/>
    <x v="0"/>
  </r>
  <r>
    <x v="24"/>
    <x v="13"/>
    <n v="0"/>
    <n v="0"/>
    <n v="0"/>
    <n v="0"/>
    <n v="0"/>
    <n v="0"/>
    <n v="0"/>
    <n v="0"/>
    <n v="0"/>
    <n v="0"/>
    <n v="0"/>
    <n v="1440"/>
    <n v="1822"/>
    <x v="0"/>
  </r>
  <r>
    <x v="24"/>
    <x v="14"/>
    <n v="0"/>
    <n v="0"/>
    <n v="0"/>
    <n v="0"/>
    <n v="0"/>
    <n v="0"/>
    <n v="0"/>
    <n v="0"/>
    <n v="0"/>
    <n v="0"/>
    <n v="0"/>
    <n v="1440"/>
    <n v="1820"/>
    <x v="0"/>
  </r>
  <r>
    <x v="24"/>
    <x v="15"/>
    <n v="0"/>
    <n v="0"/>
    <n v="0"/>
    <n v="0"/>
    <n v="0"/>
    <n v="0"/>
    <n v="0"/>
    <n v="0"/>
    <n v="0"/>
    <n v="0"/>
    <n v="0"/>
    <n v="198"/>
    <n v="251"/>
    <x v="0"/>
  </r>
  <r>
    <x v="25"/>
    <x v="7"/>
    <n v="7225"/>
    <n v="5.1799998283386204"/>
    <n v="5.1799998283386204"/>
    <n v="0"/>
    <n v="1.7300000190734901"/>
    <n v="1.2699999809265099"/>
    <n v="2.1800000667571999"/>
    <n v="0"/>
    <n v="25"/>
    <n v="50"/>
    <n v="163"/>
    <n v="1189"/>
    <n v="3065"/>
    <x v="0"/>
  </r>
  <r>
    <x v="25"/>
    <x v="8"/>
    <n v="1988"/>
    <n v="1.4299999475479099"/>
    <n v="1.4299999475479099"/>
    <n v="0"/>
    <n v="0"/>
    <n v="0"/>
    <n v="1.4299999475479099"/>
    <n v="0"/>
    <n v="0"/>
    <n v="0"/>
    <n v="79"/>
    <n v="909"/>
    <n v="2207"/>
    <x v="0"/>
  </r>
  <r>
    <x v="25"/>
    <x v="9"/>
    <n v="1577"/>
    <n v="1.12999999523163"/>
    <n v="1.12999999523163"/>
    <n v="0"/>
    <n v="7.0000000298023196E-2"/>
    <n v="0.88999998569488503"/>
    <n v="0.17000000178813901"/>
    <n v="0"/>
    <n v="1"/>
    <n v="17"/>
    <n v="8"/>
    <n v="1414"/>
    <n v="1977"/>
    <x v="0"/>
  </r>
  <r>
    <x v="25"/>
    <x v="10"/>
    <n v="0"/>
    <n v="0"/>
    <n v="0"/>
    <n v="0"/>
    <n v="0"/>
    <n v="0"/>
    <n v="0"/>
    <n v="0"/>
    <n v="0"/>
    <n v="0"/>
    <n v="0"/>
    <n v="1440"/>
    <n v="1841"/>
    <x v="0"/>
  </r>
  <r>
    <x v="25"/>
    <x v="11"/>
    <n v="9348"/>
    <n v="6.6999998092651403"/>
    <n v="6.6999998092651403"/>
    <n v="0"/>
    <n v="1.12999999523163"/>
    <n v="2.03999996185303"/>
    <n v="3.1400001049041699"/>
    <n v="0"/>
    <n v="56"/>
    <n v="133"/>
    <n v="240"/>
    <n v="1011"/>
    <n v="4286"/>
    <x v="0"/>
  </r>
  <r>
    <x v="25"/>
    <x v="12"/>
    <n v="11761"/>
    <n v="8.4300003051757795"/>
    <n v="8.4300003051757795"/>
    <n v="0"/>
    <n v="1.3099999427795399"/>
    <n v="2.4400000572204599"/>
    <n v="4.6799998283386204"/>
    <n v="0"/>
    <n v="24"/>
    <n v="99"/>
    <n v="300"/>
    <n v="550"/>
    <n v="3920"/>
    <x v="0"/>
  </r>
  <r>
    <x v="25"/>
    <x v="13"/>
    <n v="13987"/>
    <n v="10.0299997329712"/>
    <n v="10.0299997329712"/>
    <n v="0"/>
    <n v="2.8699998855590798"/>
    <n v="3.3399999141693102"/>
    <n v="3.8199999332428001"/>
    <n v="0"/>
    <n v="46"/>
    <n v="114"/>
    <n v="250"/>
    <n v="739"/>
    <n v="3856"/>
    <x v="0"/>
  </r>
  <r>
    <x v="25"/>
    <x v="14"/>
    <n v="4131"/>
    <n v="2.96000003814697"/>
    <n v="2.96000003814697"/>
    <n v="0"/>
    <n v="1.37000000476837"/>
    <n v="0.61000001430511497"/>
    <n v="0.980000019073486"/>
    <n v="0"/>
    <n v="27"/>
    <n v="30"/>
    <n v="75"/>
    <n v="1308"/>
    <n v="2584"/>
    <x v="0"/>
  </r>
  <r>
    <x v="25"/>
    <x v="15"/>
    <n v="14"/>
    <n v="9.9999997764825804E-3"/>
    <n v="9.9999997764825804E-3"/>
    <n v="0"/>
    <n v="0"/>
    <n v="0"/>
    <n v="9.9999997764825804E-3"/>
    <n v="0"/>
    <n v="0"/>
    <n v="0"/>
    <n v="1"/>
    <n v="601"/>
    <n v="787"/>
    <x v="0"/>
  </r>
  <r>
    <x v="26"/>
    <x v="5"/>
    <n v="15491"/>
    <n v="10.2399997711182"/>
    <n v="10.2399997711182"/>
    <n v="0"/>
    <n v="1.28999996185303"/>
    <n v="4.4899997711181596"/>
    <n v="4.46000003814697"/>
    <n v="0"/>
    <n v="18"/>
    <n v="77"/>
    <n v="272"/>
    <n v="641"/>
    <n v="2244"/>
    <x v="0"/>
  </r>
  <r>
    <x v="26"/>
    <x v="6"/>
    <n v="14097"/>
    <n v="9.3199996948242205"/>
    <n v="9.3199996948242205"/>
    <n v="0"/>
    <n v="3.5"/>
    <n v="1.91999995708466"/>
    <n v="3.9000000953674299"/>
    <n v="0"/>
    <n v="50"/>
    <n v="32"/>
    <n v="234"/>
    <n v="595"/>
    <n v="2188"/>
    <x v="0"/>
  </r>
  <r>
    <x v="26"/>
    <x v="7"/>
    <n v="10467"/>
    <n v="6.9800000190734899"/>
    <n v="6.9800000190734899"/>
    <n v="0"/>
    <n v="0.69999998807907104"/>
    <n v="2.4300000667571999"/>
    <n v="3.8499999046325701"/>
    <n v="0"/>
    <n v="9"/>
    <n v="45"/>
    <n v="252"/>
    <n v="602"/>
    <n v="2014"/>
    <x v="0"/>
  </r>
  <r>
    <x v="26"/>
    <x v="8"/>
    <n v="12437"/>
    <n v="8.3000001907348597"/>
    <n v="8.3000001907348597"/>
    <n v="0"/>
    <n v="3.7599999904632599"/>
    <n v="1.28999996185303"/>
    <n v="3.2400000095367401"/>
    <n v="0"/>
    <n v="50"/>
    <n v="24"/>
    <n v="219"/>
    <n v="732"/>
    <n v="2115"/>
    <x v="0"/>
  </r>
  <r>
    <x v="26"/>
    <x v="9"/>
    <n v="12307"/>
    <n v="8.1400003433227504"/>
    <n v="8.1400003433227504"/>
    <n v="0"/>
    <n v="1.0099999904632599"/>
    <n v="3.2599999904632599"/>
    <n v="3.8699998855590798"/>
    <n v="0"/>
    <n v="14"/>
    <n v="51"/>
    <n v="218"/>
    <n v="589"/>
    <n v="2055"/>
    <x v="0"/>
  </r>
  <r>
    <x v="26"/>
    <x v="10"/>
    <n v="18952"/>
    <n v="12.800000190734901"/>
    <n v="12.800000190734901"/>
    <n v="0"/>
    <n v="5.9099998474121103"/>
    <n v="1.2300000190734901"/>
    <n v="5.6599998474121103"/>
    <n v="0"/>
    <n v="73"/>
    <n v="20"/>
    <n v="327"/>
    <n v="570"/>
    <n v="2437"/>
    <x v="0"/>
  </r>
  <r>
    <x v="26"/>
    <x v="11"/>
    <n v="12010"/>
    <n v="7.9400000572204599"/>
    <n v="7.9400000572204599"/>
    <n v="0"/>
    <n v="2.3800001144409202"/>
    <n v="0.94999998807907104"/>
    <n v="4.6100001335143999"/>
    <n v="0"/>
    <n v="38"/>
    <n v="17"/>
    <n v="287"/>
    <n v="692"/>
    <n v="2158"/>
    <x v="0"/>
  </r>
  <r>
    <x v="26"/>
    <x v="12"/>
    <n v="12480"/>
    <n v="8.8599996566772496"/>
    <n v="8.25"/>
    <n v="3.9727950096130402"/>
    <n v="4.1799998283386204"/>
    <n v="0.68999999761581399"/>
    <n v="4"/>
    <n v="0"/>
    <n v="55"/>
    <n v="14"/>
    <n v="276"/>
    <n v="593"/>
    <n v="2170"/>
    <x v="0"/>
  </r>
  <r>
    <x v="26"/>
    <x v="13"/>
    <n v="13417"/>
    <n v="9.6499996185302699"/>
    <n v="8.8699998855590803"/>
    <n v="1.92630195617676"/>
    <n v="3.3900001049041699"/>
    <n v="1.25"/>
    <n v="4.9099998474121103"/>
    <n v="0.10000000149011599"/>
    <n v="45"/>
    <n v="16"/>
    <n v="284"/>
    <n v="665"/>
    <n v="2244"/>
    <x v="0"/>
  </r>
  <r>
    <x v="26"/>
    <x v="14"/>
    <n v="14400"/>
    <n v="10.8800001144409"/>
    <n v="9.5200004577636701"/>
    <n v="5.4568638801574698"/>
    <n v="2.4700000286102299"/>
    <n v="2.8800001144409202"/>
    <n v="5.5300002098083496"/>
    <n v="0"/>
    <n v="27"/>
    <n v="37"/>
    <n v="276"/>
    <n v="697"/>
    <n v="2188"/>
    <x v="0"/>
  </r>
  <r>
    <x v="26"/>
    <x v="15"/>
    <n v="12495"/>
    <n v="8.2600002288818395"/>
    <n v="8.2600002288818395"/>
    <n v="0"/>
    <n v="2.21000003814697"/>
    <n v="1.0900000333786"/>
    <n v="4.96000003814697"/>
    <n v="0"/>
    <n v="33"/>
    <n v="19"/>
    <n v="324"/>
    <n v="609"/>
    <n v="2231"/>
    <x v="0"/>
  </r>
  <r>
    <x v="26"/>
    <x v="16"/>
    <n v="10148"/>
    <n v="6.71000003814697"/>
    <n v="6.71000003814697"/>
    <n v="0"/>
    <n v="1.3600000143051101"/>
    <n v="0.21999999880790699"/>
    <n v="5.1300001144409197"/>
    <n v="0"/>
    <n v="19"/>
    <n v="7"/>
    <n v="306"/>
    <n v="679"/>
    <n v="2100"/>
    <x v="0"/>
  </r>
  <r>
    <x v="26"/>
    <x v="17"/>
    <n v="12362"/>
    <n v="9.0900001525878906"/>
    <n v="8.1700000762939506"/>
    <n v="2.6964550018310498"/>
    <n v="1.0900000333786"/>
    <n v="2.7300000190734899"/>
    <n v="5.2699999809265101"/>
    <n v="0"/>
    <n v="21"/>
    <n v="38"/>
    <n v="297"/>
    <n v="678"/>
    <n v="2188"/>
    <x v="0"/>
  </r>
  <r>
    <x v="26"/>
    <x v="18"/>
    <n v="5893"/>
    <n v="3.9000000953674299"/>
    <n v="3.9000000953674299"/>
    <n v="0"/>
    <n v="2.8800001144409202"/>
    <n v="0.56000000238418601"/>
    <n v="0.46000000834464999"/>
    <n v="0"/>
    <n v="43"/>
    <n v="9"/>
    <n v="48"/>
    <n v="146"/>
    <n v="917"/>
    <x v="0"/>
  </r>
  <r>
    <x v="27"/>
    <x v="7"/>
    <n v="11680"/>
    <n v="9.0600004196166992"/>
    <n v="7.8099999427795401"/>
    <n v="4.9012827873229998"/>
    <n v="4.4899997711181596"/>
    <n v="0.33000001311302202"/>
    <n v="4.2399997711181596"/>
    <n v="0"/>
    <n v="50"/>
    <n v="7"/>
    <n v="244"/>
    <n v="1139"/>
    <n v="2573"/>
    <x v="0"/>
  </r>
  <r>
    <x v="27"/>
    <x v="8"/>
    <n v="10976"/>
    <n v="7.3400001525878897"/>
    <n v="7.3400001525878897"/>
    <n v="0"/>
    <n v="0.55000001192092896"/>
    <n v="0.67000001668930098"/>
    <n v="6.1300001144409197"/>
    <n v="0"/>
    <n v="9"/>
    <n v="16"/>
    <n v="271"/>
    <n v="1075"/>
    <n v="2575"/>
    <x v="0"/>
  </r>
  <r>
    <x v="27"/>
    <x v="9"/>
    <n v="16806"/>
    <n v="11.2399997711182"/>
    <n v="11.2399997711182"/>
    <n v="0"/>
    <n v="6.4099998474121103"/>
    <n v="1.37000000476837"/>
    <n v="3.4700000286102299"/>
    <n v="0"/>
    <n v="104"/>
    <n v="31"/>
    <n v="230"/>
    <n v="1002"/>
    <n v="3086"/>
    <x v="0"/>
  </r>
  <r>
    <x v="27"/>
    <x v="10"/>
    <n v="15266"/>
    <n v="11.3999996185303"/>
    <n v="10.210000038146999"/>
    <n v="5.1898498535156303"/>
    <n v="5.8000001907348597"/>
    <n v="0.75999999046325695"/>
    <n v="4.78999996185303"/>
    <n v="5.0000000745058101E-2"/>
    <n v="70"/>
    <n v="21"/>
    <n v="292"/>
    <n v="1057"/>
    <n v="2886"/>
    <x v="0"/>
  </r>
  <r>
    <x v="27"/>
    <x v="11"/>
    <n v="12084"/>
    <n v="9.1400003433227504"/>
    <n v="8.0799999237060494"/>
    <n v="4.8363800048828098"/>
    <n v="4.3899998664856001"/>
    <n v="0.46000000834464999"/>
    <n v="4.28999996185303"/>
    <n v="0"/>
    <n v="50"/>
    <n v="6"/>
    <n v="284"/>
    <n v="1030"/>
    <n v="2676"/>
    <x v="0"/>
  </r>
  <r>
    <x v="27"/>
    <x v="12"/>
    <n v="13513"/>
    <n v="10.25"/>
    <n v="9.0699996948242205"/>
    <n v="4.8357200622558603"/>
    <n v="5.3499999046325701"/>
    <n v="0.33000001311302202"/>
    <n v="4.5599999427795401"/>
    <n v="0"/>
    <n v="64"/>
    <n v="8"/>
    <n v="270"/>
    <n v="1098"/>
    <n v="2811"/>
    <x v="0"/>
  </r>
  <r>
    <x v="27"/>
    <x v="13"/>
    <n v="14100"/>
    <n v="10.579999923706101"/>
    <n v="9.4300003051757795"/>
    <n v="4.8759899139404297"/>
    <n v="5.0999999046325701"/>
    <n v="1.1900000572204601"/>
    <n v="4.2800002098083496"/>
    <n v="0"/>
    <n v="61"/>
    <n v="33"/>
    <n v="265"/>
    <n v="1015"/>
    <n v="2840"/>
    <x v="0"/>
  </r>
  <r>
    <x v="27"/>
    <x v="14"/>
    <n v="12627"/>
    <n v="9.6499996185302699"/>
    <n v="8.4499998092651403"/>
    <n v="4.8423199653625497"/>
    <n v="4.6999998092651403"/>
    <n v="0.74000000953674305"/>
    <n v="4.21000003814697"/>
    <n v="0"/>
    <n v="54"/>
    <n v="22"/>
    <n v="301"/>
    <n v="1063"/>
    <n v="2871"/>
    <x v="0"/>
  </r>
  <r>
    <x v="27"/>
    <x v="15"/>
    <n v="10345"/>
    <n v="6.9200000762939498"/>
    <n v="6.9200000762939498"/>
    <n v="0"/>
    <n v="7.0000000298023196E-2"/>
    <n v="0.270000010728836"/>
    <n v="6.5799999237060502"/>
    <n v="0"/>
    <n v="2"/>
    <n v="6"/>
    <n v="358"/>
    <n v="1074"/>
    <n v="2613"/>
    <x v="0"/>
  </r>
  <r>
    <x v="27"/>
    <x v="16"/>
    <n v="10146"/>
    <n v="6.78999996185303"/>
    <n v="6.78999996185303"/>
    <n v="0"/>
    <n v="7.0000000298023196E-2"/>
    <n v="0.61000001430511497"/>
    <n v="6.1100001335143999"/>
    <n v="0"/>
    <n v="1"/>
    <n v="12"/>
    <n v="397"/>
    <n v="1030"/>
    <n v="2700"/>
    <x v="0"/>
  </r>
  <r>
    <x v="27"/>
    <x v="17"/>
    <n v="12168"/>
    <n v="8.1400003433227504"/>
    <n v="8.1400003433227504"/>
    <n v="0"/>
    <n v="1.04999995231628"/>
    <n v="0.79000002145767201"/>
    <n v="6.28999996185303"/>
    <n v="0"/>
    <n v="18"/>
    <n v="27"/>
    <n v="375"/>
    <n v="1020"/>
    <n v="2871"/>
    <x v="0"/>
  </r>
  <r>
    <x v="27"/>
    <x v="18"/>
    <n v="7413"/>
    <n v="5.7699999809265101"/>
    <n v="4.96000003814697"/>
    <n v="4.8697829246520996"/>
    <n v="4.5"/>
    <n v="0.34000000357627902"/>
    <n v="0.93999999761581399"/>
    <n v="0"/>
    <n v="53"/>
    <n v="6"/>
    <n v="43"/>
    <n v="405"/>
    <n v="1023"/>
    <x v="0"/>
  </r>
  <r>
    <x v="28"/>
    <x v="7"/>
    <n v="11463"/>
    <n v="7.6700000762939498"/>
    <n v="7.6700000762939498"/>
    <n v="0"/>
    <n v="2.8299999237060498"/>
    <n v="1.8899999856948899"/>
    <n v="2.9300000667571999"/>
    <n v="0"/>
    <n v="38"/>
    <n v="30"/>
    <n v="154"/>
    <n v="777"/>
    <n v="2496"/>
    <x v="0"/>
  </r>
  <r>
    <x v="28"/>
    <x v="8"/>
    <n v="87"/>
    <n v="1.9999999552965199E-2"/>
    <n v="1.9999999552965199E-2"/>
    <n v="0"/>
    <n v="0"/>
    <n v="0"/>
    <n v="9.9999997764825804E-3"/>
    <n v="0"/>
    <n v="0"/>
    <n v="0"/>
    <n v="2"/>
    <n v="872"/>
    <n v="1641"/>
    <x v="0"/>
  </r>
  <r>
    <x v="28"/>
    <x v="9"/>
    <n v="1949"/>
    <n v="1.3099999427795399"/>
    <n v="1.3099999427795399"/>
    <n v="0"/>
    <n v="0.230000004172325"/>
    <n v="0.34999999403953602"/>
    <n v="0.730000019073486"/>
    <n v="0"/>
    <n v="3"/>
    <n v="6"/>
    <n v="27"/>
    <n v="1404"/>
    <n v="1794"/>
    <x v="0"/>
  </r>
  <r>
    <x v="28"/>
    <x v="10"/>
    <n v="6101"/>
    <n v="3.8699998855590798"/>
    <n v="3.8699998855590798"/>
    <n v="0"/>
    <n v="0.52999997138977095"/>
    <n v="0.230000004172325"/>
    <n v="3.0999999046325701"/>
    <n v="0"/>
    <n v="31"/>
    <n v="24"/>
    <n v="138"/>
    <n v="1247"/>
    <n v="2421"/>
    <x v="0"/>
  </r>
  <r>
    <x v="28"/>
    <x v="11"/>
    <n v="7478"/>
    <n v="4.9899997711181596"/>
    <n v="4.9899997711181596"/>
    <n v="0"/>
    <n v="1.79999995231628"/>
    <n v="0.52999997138977095"/>
    <n v="2.6099998950958301"/>
    <n v="2.9999999329447701E-2"/>
    <n v="25"/>
    <n v="33"/>
    <n v="132"/>
    <n v="1159"/>
    <n v="2439"/>
    <x v="0"/>
  </r>
  <r>
    <x v="28"/>
    <x v="12"/>
    <n v="7352"/>
    <n v="4.7300000190734899"/>
    <n v="4.7300000190734899"/>
    <n v="0"/>
    <n v="1.4099999666214"/>
    <n v="0.77999997138977095"/>
    <n v="2.5299999713897701"/>
    <n v="0"/>
    <n v="19"/>
    <n v="14"/>
    <n v="124"/>
    <n v="814"/>
    <n v="2233"/>
    <x v="0"/>
  </r>
  <r>
    <x v="28"/>
    <x v="13"/>
    <n v="14604"/>
    <n v="10.819999694824199"/>
    <n v="10.819999694824199"/>
    <n v="0"/>
    <n v="7.2300000190734899"/>
    <n v="1.12000000476837"/>
    <n v="2.4300000667571999"/>
    <n v="2.9999999329447701E-2"/>
    <n v="76"/>
    <n v="30"/>
    <n v="127"/>
    <n v="695"/>
    <n v="2862"/>
    <x v="0"/>
  </r>
  <r>
    <x v="28"/>
    <x v="14"/>
    <n v="9634"/>
    <n v="6.5199999809265101"/>
    <n v="6.5199999809265101"/>
    <n v="0"/>
    <n v="2.5"/>
    <n v="1.3999999761581401"/>
    <n v="2.5899999141693102"/>
    <n v="0"/>
    <n v="50"/>
    <n v="48"/>
    <n v="140"/>
    <n v="797"/>
    <n v="2752"/>
    <x v="0"/>
  </r>
  <r>
    <x v="28"/>
    <x v="15"/>
    <n v="7338"/>
    <n v="4.6700000762939498"/>
    <n v="4.6700000762939498"/>
    <n v="0"/>
    <n v="1.08000004291534"/>
    <n v="0.129999995231628"/>
    <n v="3.46000003814697"/>
    <n v="0"/>
    <n v="27"/>
    <n v="5"/>
    <n v="204"/>
    <n v="717"/>
    <n v="2519"/>
    <x v="0"/>
  </r>
  <r>
    <x v="28"/>
    <x v="16"/>
    <n v="569"/>
    <n v="0.34999999403953602"/>
    <n v="0.34999999403953602"/>
    <n v="0"/>
    <n v="0"/>
    <n v="0"/>
    <n v="0.34000000357627902"/>
    <n v="0"/>
    <n v="0"/>
    <n v="0"/>
    <n v="27"/>
    <n v="1368"/>
    <n v="1799"/>
    <x v="0"/>
  </r>
  <r>
    <x v="28"/>
    <x v="17"/>
    <n v="6242"/>
    <n v="3.9200000762939502"/>
    <n v="3.9200000762939502"/>
    <n v="0"/>
    <n v="0.74000000953674305"/>
    <n v="0.230000004172325"/>
    <n v="2.9300000667571999"/>
    <n v="0"/>
    <n v="46"/>
    <n v="22"/>
    <n v="126"/>
    <n v="741"/>
    <n v="2543"/>
    <x v="0"/>
  </r>
  <r>
    <x v="28"/>
    <x v="18"/>
    <n v="430"/>
    <n v="0.259999990463257"/>
    <n v="0.259999990463257"/>
    <n v="0"/>
    <n v="0"/>
    <n v="0"/>
    <n v="0.259999990463257"/>
    <n v="0"/>
    <n v="0"/>
    <n v="0"/>
    <n v="14"/>
    <n v="75"/>
    <n v="625"/>
    <x v="0"/>
  </r>
  <r>
    <x v="29"/>
    <x v="8"/>
    <n v="20188"/>
    <n v="15.6199998855591"/>
    <n v="15.6199998855591"/>
    <n v="0"/>
    <n v="12.060000419616699"/>
    <n v="0.85000002384185802"/>
    <n v="2.71000003814697"/>
    <n v="0"/>
    <n v="124"/>
    <n v="19"/>
    <n v="172"/>
    <n v="1125"/>
    <n v="3377"/>
    <x v="0"/>
  </r>
  <r>
    <x v="29"/>
    <x v="9"/>
    <n v="25701"/>
    <n v="20.139999389648398"/>
    <n v="20.139999389648398"/>
    <n v="0"/>
    <n v="16.819999694824201"/>
    <n v="1.62999999523163"/>
    <n v="1.6900000572204601"/>
    <n v="0"/>
    <n v="165"/>
    <n v="36"/>
    <n v="97"/>
    <n v="1142"/>
    <n v="3697"/>
    <x v="0"/>
  </r>
  <r>
    <x v="29"/>
    <x v="10"/>
    <n v="17395"/>
    <n v="13.210000038146999"/>
    <n v="13.210000038146999"/>
    <n v="0"/>
    <n v="9.6700000762939506"/>
    <n v="0.18000000715255701"/>
    <n v="3.3499999046325701"/>
    <n v="0"/>
    <n v="100"/>
    <n v="4"/>
    <n v="213"/>
    <n v="1123"/>
    <n v="3209"/>
    <x v="0"/>
  </r>
  <r>
    <x v="29"/>
    <x v="11"/>
    <n v="17167"/>
    <n v="13.4099998474121"/>
    <n v="13.4099998474121"/>
    <n v="0"/>
    <n v="9.9600000381469709"/>
    <n v="0.31000000238418601"/>
    <n v="3.1400001049041699"/>
    <n v="0"/>
    <n v="98"/>
    <n v="8"/>
    <n v="184"/>
    <n v="1150"/>
    <n v="3167"/>
    <x v="0"/>
  </r>
  <r>
    <x v="29"/>
    <x v="12"/>
    <n v="16435"/>
    <n v="12.420000076293899"/>
    <n v="12.420000076293899"/>
    <n v="0"/>
    <n v="8.9600000381469709"/>
    <n v="0.55000001192092896"/>
    <n v="2.9100000858306898"/>
    <n v="0"/>
    <n v="100"/>
    <n v="14"/>
    <n v="191"/>
    <n v="1135"/>
    <n v="3122"/>
    <x v="0"/>
  </r>
  <r>
    <x v="29"/>
    <x v="13"/>
    <n v="17078"/>
    <n v="13.199999809265099"/>
    <n v="13.199999809265099"/>
    <n v="0"/>
    <n v="9.9700002670288104"/>
    <n v="0.239999994635582"/>
    <n v="2.9900000095367401"/>
    <n v="0"/>
    <n v="101"/>
    <n v="6"/>
    <n v="190"/>
    <n v="1143"/>
    <n v="3176"/>
    <x v="0"/>
  </r>
  <r>
    <x v="29"/>
    <x v="14"/>
    <n v="11693"/>
    <n v="9.5399999618530291"/>
    <n v="9.5399999618530291"/>
    <n v="0"/>
    <n v="6.7699999809265101"/>
    <n v="0.259999990463257"/>
    <n v="2.5"/>
    <n v="0"/>
    <n v="60"/>
    <n v="6"/>
    <n v="153"/>
    <n v="1221"/>
    <n v="2790"/>
    <x v="0"/>
  </r>
  <r>
    <x v="29"/>
    <x v="15"/>
    <n v="11159"/>
    <n v="9.1400003433227504"/>
    <n v="9.1400003433227504"/>
    <n v="0"/>
    <n v="6.6900000572204599"/>
    <n v="0.25"/>
    <n v="2.1900000572204599"/>
    <n v="0"/>
    <n v="59"/>
    <n v="6"/>
    <n v="120"/>
    <n v="1255"/>
    <n v="2715"/>
    <x v="0"/>
  </r>
  <r>
    <x v="29"/>
    <x v="16"/>
    <n v="10118"/>
    <n v="7.7300000190734899"/>
    <n v="7.7300000190734899"/>
    <n v="0"/>
    <n v="3.0499999523162802"/>
    <n v="0.80000001192092896"/>
    <n v="3.8800001144409202"/>
    <n v="0"/>
    <n v="30"/>
    <n v="18"/>
    <n v="207"/>
    <n v="1185"/>
    <n v="2684"/>
    <x v="0"/>
  </r>
  <r>
    <x v="29"/>
    <x v="17"/>
    <n v="16064"/>
    <n v="12.7200002670288"/>
    <n v="12.7200002670288"/>
    <n v="0"/>
    <n v="9.9799995422363299"/>
    <n v="0.36000001430511502"/>
    <n v="2.3800001144409202"/>
    <n v="0"/>
    <n v="96"/>
    <n v="8"/>
    <n v="155"/>
    <n v="1181"/>
    <n v="3097"/>
    <x v="0"/>
  </r>
  <r>
    <x v="29"/>
    <x v="18"/>
    <n v="290"/>
    <n v="0.20999999344348899"/>
    <n v="0.20999999344348899"/>
    <n v="0"/>
    <n v="0"/>
    <n v="0"/>
    <n v="0.20999999344348899"/>
    <n v="0"/>
    <n v="0"/>
    <n v="0"/>
    <n v="16"/>
    <n v="599"/>
    <n v="791"/>
    <x v="0"/>
  </r>
  <r>
    <x v="30"/>
    <x v="7"/>
    <n v="0"/>
    <n v="0"/>
    <n v="0"/>
    <n v="0"/>
    <n v="0"/>
    <n v="0"/>
    <n v="0"/>
    <n v="0"/>
    <n v="0"/>
    <n v="0"/>
    <n v="0"/>
    <n v="1440"/>
    <n v="1429"/>
    <x v="0"/>
  </r>
  <r>
    <x v="30"/>
    <x v="8"/>
    <n v="0"/>
    <n v="0"/>
    <n v="0"/>
    <n v="0"/>
    <n v="0"/>
    <n v="0"/>
    <n v="0"/>
    <n v="0"/>
    <n v="0"/>
    <n v="0"/>
    <n v="0"/>
    <n v="1440"/>
    <n v="1429"/>
    <x v="0"/>
  </r>
  <r>
    <x v="30"/>
    <x v="9"/>
    <n v="0"/>
    <n v="0"/>
    <n v="0"/>
    <n v="0"/>
    <n v="0"/>
    <n v="0"/>
    <n v="0"/>
    <n v="0"/>
    <n v="0"/>
    <n v="0"/>
    <n v="0"/>
    <n v="1440"/>
    <n v="1429"/>
    <x v="0"/>
  </r>
  <r>
    <x v="30"/>
    <x v="10"/>
    <n v="0"/>
    <n v="0"/>
    <n v="0"/>
    <n v="0"/>
    <n v="0"/>
    <n v="0"/>
    <n v="0"/>
    <n v="0"/>
    <n v="0"/>
    <n v="0"/>
    <n v="0"/>
    <n v="1440"/>
    <n v="1429"/>
    <x v="0"/>
  </r>
  <r>
    <x v="30"/>
    <x v="11"/>
    <n v="0"/>
    <n v="0"/>
    <n v="0"/>
    <n v="0"/>
    <n v="0"/>
    <n v="0"/>
    <n v="0"/>
    <n v="0"/>
    <n v="0"/>
    <n v="0"/>
    <n v="0"/>
    <n v="1440"/>
    <n v="1429"/>
    <x v="0"/>
  </r>
  <r>
    <x v="30"/>
    <x v="12"/>
    <n v="1931"/>
    <n v="1.2799999713897701"/>
    <n v="1.2799999713897701"/>
    <n v="0"/>
    <n v="0"/>
    <n v="0"/>
    <n v="1.2799999713897701"/>
    <n v="0"/>
    <n v="0"/>
    <n v="0"/>
    <n v="94"/>
    <n v="1346"/>
    <n v="1607"/>
    <x v="0"/>
  </r>
  <r>
    <x v="30"/>
    <x v="13"/>
    <n v="5181"/>
    <n v="3.4200000762939502"/>
    <n v="3.4200000762939502"/>
    <n v="0"/>
    <n v="1"/>
    <n v="0.91000002622604403"/>
    <n v="1.5099999904632599"/>
    <n v="9.9999997764825804E-3"/>
    <n v="15"/>
    <n v="15"/>
    <n v="107"/>
    <n v="1303"/>
    <n v="1776"/>
    <x v="0"/>
  </r>
  <r>
    <x v="30"/>
    <x v="14"/>
    <n v="12026"/>
    <n v="9.1499996185302699"/>
    <n v="9.1499996185302699"/>
    <n v="0"/>
    <n v="5.6999998092651403"/>
    <n v="0.93000000715255704"/>
    <n v="2.5099999904632599"/>
    <n v="0"/>
    <n v="47"/>
    <n v="13"/>
    <n v="150"/>
    <n v="1230"/>
    <n v="2162"/>
    <x v="0"/>
  </r>
  <r>
    <x v="30"/>
    <x v="15"/>
    <n v="5360"/>
    <n v="3.53999996185303"/>
    <n v="3.53999996185303"/>
    <n v="0"/>
    <n v="0.54000002145767201"/>
    <n v="1.54999995231628"/>
    <n v="1.46000003814697"/>
    <n v="0"/>
    <n v="8"/>
    <n v="28"/>
    <n v="148"/>
    <n v="1256"/>
    <n v="1832"/>
    <x v="0"/>
  </r>
  <r>
    <x v="30"/>
    <x v="16"/>
    <n v="2545"/>
    <n v="1.6799999475479099"/>
    <n v="1.6799999475479099"/>
    <n v="0"/>
    <n v="0"/>
    <n v="0"/>
    <n v="1.66999995708466"/>
    <n v="1.9999999552965199E-2"/>
    <n v="0"/>
    <n v="0"/>
    <n v="126"/>
    <n v="1314"/>
    <n v="1657"/>
    <x v="0"/>
  </r>
  <r>
    <x v="30"/>
    <x v="17"/>
    <n v="1636"/>
    <n v="1.08000004291534"/>
    <n v="1.08000004291534"/>
    <n v="0"/>
    <n v="0"/>
    <n v="0"/>
    <n v="1.08000004291534"/>
    <n v="0"/>
    <n v="0"/>
    <n v="0"/>
    <n v="86"/>
    <n v="1139"/>
    <n v="1377"/>
    <x v="0"/>
  </r>
  <r>
    <x v="30"/>
    <x v="18"/>
    <n v="0"/>
    <n v="0"/>
    <n v="0"/>
    <n v="0"/>
    <n v="0"/>
    <n v="0"/>
    <n v="0"/>
    <n v="0"/>
    <n v="0"/>
    <n v="0"/>
    <n v="0"/>
    <n v="1440"/>
    <n v="0"/>
    <x v="0"/>
  </r>
  <r>
    <x v="31"/>
    <x v="7"/>
    <n v="14179"/>
    <n v="11.2399997711182"/>
    <n v="11.2399997711182"/>
    <n v="0"/>
    <n v="6.2300000190734899"/>
    <n v="1.0599999427795399"/>
    <n v="3.96000003814697"/>
    <n v="0"/>
    <n v="73"/>
    <n v="21"/>
    <n v="195"/>
    <n v="719"/>
    <n v="3669"/>
    <x v="0"/>
  </r>
  <r>
    <x v="31"/>
    <x v="8"/>
    <n v="3358"/>
    <n v="2.6600000858306898"/>
    <n v="2.6600000858306898"/>
    <n v="0"/>
    <n v="0"/>
    <n v="0"/>
    <n v="2.6600000858306898"/>
    <n v="0"/>
    <n v="0"/>
    <n v="0"/>
    <n v="144"/>
    <n v="657"/>
    <n v="2702"/>
    <x v="0"/>
  </r>
  <r>
    <x v="31"/>
    <x v="9"/>
    <n v="9152"/>
    <n v="7.2600002288818404"/>
    <n v="7.2600002288818404"/>
    <n v="0"/>
    <n v="1.9900000095367401"/>
    <n v="0.81999999284744296"/>
    <n v="4.4499998092651403"/>
    <n v="0"/>
    <n v="25"/>
    <n v="13"/>
    <n v="243"/>
    <n v="600"/>
    <n v="3304"/>
    <x v="0"/>
  </r>
  <r>
    <x v="31"/>
    <x v="10"/>
    <n v="13935"/>
    <n v="11.050000190734901"/>
    <n v="11.050000190734901"/>
    <n v="2.0921471118927002"/>
    <n v="4.0900001525878897"/>
    <n v="0.79000002145767201"/>
    <n v="6.1700000762939498"/>
    <n v="0"/>
    <n v="105"/>
    <n v="16"/>
    <n v="220"/>
    <n v="658"/>
    <n v="4234"/>
    <x v="0"/>
  </r>
  <r>
    <x v="31"/>
    <x v="11"/>
    <n v="12846"/>
    <n v="10.189999580383301"/>
    <n v="10.189999580383301"/>
    <n v="2.2530810832977299"/>
    <n v="5"/>
    <n v="0.75"/>
    <n v="4.4400000572204599"/>
    <n v="0"/>
    <n v="113"/>
    <n v="15"/>
    <n v="189"/>
    <n v="686"/>
    <n v="4128"/>
    <x v="0"/>
  </r>
  <r>
    <x v="31"/>
    <x v="12"/>
    <n v="9124"/>
    <n v="7.2399997711181596"/>
    <n v="7.2399997711181596"/>
    <n v="2.0921471118927002"/>
    <n v="0"/>
    <n v="0.25"/>
    <n v="6.9899997711181596"/>
    <n v="0"/>
    <n v="55"/>
    <n v="6"/>
    <n v="230"/>
    <n v="728"/>
    <n v="3798"/>
    <x v="0"/>
  </r>
  <r>
    <x v="31"/>
    <x v="13"/>
    <n v="9725"/>
    <n v="7.71000003814697"/>
    <n v="7.71000003814697"/>
    <n v="2.2530810832977299"/>
    <n v="2.4100000858306898"/>
    <n v="0.52999997138977095"/>
    <n v="4.7699999809265101"/>
    <n v="0"/>
    <n v="83"/>
    <n v="11"/>
    <n v="181"/>
    <n v="670"/>
    <n v="3839"/>
    <x v="0"/>
  </r>
  <r>
    <x v="31"/>
    <x v="14"/>
    <n v="8350"/>
    <n v="6.6199998855590803"/>
    <n v="6.6199998855590803"/>
    <n v="2.0921471118927002"/>
    <n v="1.4900000095367401"/>
    <n v="0.52999997138977095"/>
    <n v="4.6100001335143999"/>
    <n v="0"/>
    <n v="72"/>
    <n v="10"/>
    <n v="167"/>
    <n v="868"/>
    <n v="3713"/>
    <x v="0"/>
  </r>
  <r>
    <x v="31"/>
    <x v="15"/>
    <n v="2240"/>
    <n v="1.7799999713897701"/>
    <n v="1.7799999713897701"/>
    <n v="0"/>
    <n v="0"/>
    <n v="0"/>
    <n v="1.7799999713897701"/>
    <n v="0"/>
    <n v="0"/>
    <n v="0"/>
    <n v="110"/>
    <n v="843"/>
    <n v="2606"/>
    <x v="0"/>
  </r>
  <r>
    <x v="31"/>
    <x v="16"/>
    <n v="2631"/>
    <n v="2.0899999141693102"/>
    <n v="2.0899999141693102"/>
    <n v="0"/>
    <n v="0"/>
    <n v="0"/>
    <n v="2.0899999141693102"/>
    <n v="0"/>
    <n v="0"/>
    <n v="0"/>
    <n v="117"/>
    <n v="727"/>
    <n v="2624"/>
    <x v="0"/>
  </r>
  <r>
    <x v="31"/>
    <x v="17"/>
    <n v="8837"/>
    <n v="7.0100002288818404"/>
    <n v="7.0100002288818404"/>
    <n v="2.0921471118927002"/>
    <n v="1.53999996185303"/>
    <n v="0.87999999523162797"/>
    <n v="4.5900001525878897"/>
    <n v="0"/>
    <n v="74"/>
    <n v="17"/>
    <n v="182"/>
    <n v="811"/>
    <n v="3775"/>
    <x v="0"/>
  </r>
  <r>
    <x v="31"/>
    <x v="18"/>
    <n v="3246"/>
    <n v="2.5699999332428001"/>
    <n v="2.5699999332428001"/>
    <n v="2.2530810832977299"/>
    <n v="0.82999998331069902"/>
    <n v="0.70999997854232799"/>
    <n v="1.0299999713897701"/>
    <n v="0"/>
    <n v="65"/>
    <n v="15"/>
    <n v="49"/>
    <n v="243"/>
    <n v="1882"/>
    <x v="0"/>
  </r>
  <r>
    <x v="32"/>
    <x v="7"/>
    <n v="2174"/>
    <n v="1.70000004768372"/>
    <n v="1.70000004768372"/>
    <n v="0"/>
    <n v="0"/>
    <n v="0"/>
    <n v="1.70000004768372"/>
    <n v="0"/>
    <n v="0"/>
    <n v="0"/>
    <n v="112"/>
    <n v="1328"/>
    <n v="2360"/>
    <x v="0"/>
  </r>
  <r>
    <x v="32"/>
    <x v="8"/>
    <n v="3494"/>
    <n v="2.7300000190734899"/>
    <n v="2.7300000190734899"/>
    <n v="0"/>
    <n v="0"/>
    <n v="0"/>
    <n v="2.6900000572204599"/>
    <n v="0"/>
    <n v="0"/>
    <n v="0"/>
    <n v="166"/>
    <n v="1274"/>
    <n v="2517"/>
    <x v="0"/>
  </r>
  <r>
    <x v="32"/>
    <x v="9"/>
    <n v="2380"/>
    <n v="1.8600000143051101"/>
    <n v="1.8600000143051101"/>
    <n v="0"/>
    <n v="0"/>
    <n v="0"/>
    <n v="1.8600000143051101"/>
    <n v="0"/>
    <n v="0"/>
    <n v="0"/>
    <n v="131"/>
    <n v="1309"/>
    <n v="2400"/>
    <x v="0"/>
  </r>
  <r>
    <x v="32"/>
    <x v="10"/>
    <n v="3159"/>
    <n v="2.46000003814697"/>
    <n v="2.46000003814697"/>
    <n v="0"/>
    <n v="0"/>
    <n v="0"/>
    <n v="2.46000003814697"/>
    <n v="0"/>
    <n v="0"/>
    <n v="0"/>
    <n v="147"/>
    <n v="1293"/>
    <n v="2462"/>
    <x v="0"/>
  </r>
  <r>
    <x v="32"/>
    <x v="11"/>
    <n v="6835"/>
    <n v="5.3299999237060502"/>
    <n v="5.3299999237060502"/>
    <n v="0"/>
    <n v="0.37000000476837203"/>
    <n v="0.730000019073486"/>
    <n v="4.2399997711181596"/>
    <n v="0"/>
    <n v="5"/>
    <n v="15"/>
    <n v="212"/>
    <n v="1208"/>
    <n v="2786"/>
    <x v="0"/>
  </r>
  <r>
    <x v="32"/>
    <x v="12"/>
    <n v="2098"/>
    <n v="1.6399999856948899"/>
    <n v="1.6399999856948899"/>
    <n v="0"/>
    <n v="0"/>
    <n v="0"/>
    <n v="1.62999999523163"/>
    <n v="0"/>
    <n v="0"/>
    <n v="0"/>
    <n v="112"/>
    <n v="1328"/>
    <n v="2354"/>
    <x v="0"/>
  </r>
  <r>
    <x v="32"/>
    <x v="13"/>
    <n v="2816"/>
    <n v="2.2000000476837198"/>
    <n v="2.2000000476837198"/>
    <n v="0"/>
    <n v="0"/>
    <n v="0"/>
    <n v="2.2000000476837198"/>
    <n v="0"/>
    <n v="0"/>
    <n v="0"/>
    <n v="138"/>
    <n v="1302"/>
    <n v="2437"/>
    <x v="0"/>
  </r>
  <r>
    <x v="32"/>
    <x v="14"/>
    <n v="1408"/>
    <n v="1.1000000238418599"/>
    <n v="1.1000000238418599"/>
    <n v="0"/>
    <n v="0"/>
    <n v="0"/>
    <n v="1.1000000238418599"/>
    <n v="0"/>
    <n v="0"/>
    <n v="0"/>
    <n v="79"/>
    <n v="1052"/>
    <n v="1814"/>
    <x v="0"/>
  </r>
  <r>
    <x v="33"/>
    <x v="7"/>
    <n v="4592"/>
    <n v="2.9400000572204599"/>
    <n v="2.9400000572204599"/>
    <n v="0"/>
    <n v="0.10000000149011599"/>
    <n v="0.140000000596046"/>
    <n v="2.7000000476837198"/>
    <n v="0"/>
    <n v="4"/>
    <n v="8"/>
    <n v="176"/>
    <n v="748"/>
    <n v="2260"/>
    <x v="0"/>
  </r>
  <r>
    <x v="33"/>
    <x v="8"/>
    <n v="8452"/>
    <n v="5.4099998474121103"/>
    <n v="5.4099998474121103"/>
    <n v="0"/>
    <n v="0.259999990463257"/>
    <n v="0.38999998569488498"/>
    <n v="4.7600002288818404"/>
    <n v="0"/>
    <n v="9"/>
    <n v="24"/>
    <n v="328"/>
    <n v="1079"/>
    <n v="3004"/>
    <x v="0"/>
  </r>
  <r>
    <x v="33"/>
    <x v="9"/>
    <n v="7238"/>
    <n v="4.6300001144409197"/>
    <n v="4.6300001144409197"/>
    <n v="0"/>
    <n v="0.109999999403954"/>
    <n v="0.230000004172325"/>
    <n v="4.28999996185303"/>
    <n v="0"/>
    <n v="2"/>
    <n v="6"/>
    <n v="279"/>
    <n v="636"/>
    <n v="2667"/>
    <x v="0"/>
  </r>
  <r>
    <x v="33"/>
    <x v="10"/>
    <n v="3821"/>
    <n v="2.4500000476837198"/>
    <n v="2.4500000476837198"/>
    <n v="0"/>
    <n v="0"/>
    <n v="0.21999999880790699"/>
    <n v="2.2300000190734899"/>
    <n v="0"/>
    <n v="0"/>
    <n v="9"/>
    <n v="161"/>
    <n v="675"/>
    <n v="2229"/>
    <x v="0"/>
  </r>
  <r>
    <x v="33"/>
    <x v="11"/>
    <n v="2332"/>
    <n v="1.4900000095367401"/>
    <n v="1.4900000095367401"/>
    <n v="0"/>
    <n v="9.9999997764825804E-3"/>
    <n v="0.18000000715255701"/>
    <n v="1.29999995231628"/>
    <n v="0"/>
    <n v="1"/>
    <n v="10"/>
    <n v="111"/>
    <n v="904"/>
    <n v="2100"/>
    <x v="0"/>
  </r>
  <r>
    <x v="33"/>
    <x v="12"/>
    <n v="2121"/>
    <n v="1.3600000143051101"/>
    <n v="1.3600000143051101"/>
    <n v="0"/>
    <n v="0"/>
    <n v="0"/>
    <n v="1.3600000143051101"/>
    <n v="0"/>
    <n v="0"/>
    <n v="0"/>
    <n v="122"/>
    <n v="855"/>
    <n v="2114"/>
    <x v="0"/>
  </r>
  <r>
    <x v="33"/>
    <x v="13"/>
    <n v="1291"/>
    <n v="0.82999998331069902"/>
    <n v="0.82999998331069902"/>
    <n v="0"/>
    <n v="0"/>
    <n v="0"/>
    <n v="0.82999998331069902"/>
    <n v="0"/>
    <n v="0"/>
    <n v="0"/>
    <n v="77"/>
    <n v="888"/>
    <n v="1961"/>
    <x v="0"/>
  </r>
  <r>
    <x v="33"/>
    <x v="14"/>
    <n v="1467"/>
    <n v="0.93999999761581399"/>
    <n v="0.93999999761581399"/>
    <n v="0"/>
    <n v="0.10000000149011599"/>
    <n v="0.20999999344348899"/>
    <n v="0.62999999523162797"/>
    <n v="0"/>
    <n v="2"/>
    <n v="8"/>
    <n v="71"/>
    <n v="912"/>
    <n v="1953"/>
    <x v="0"/>
  </r>
  <r>
    <x v="33"/>
    <x v="15"/>
    <n v="1022"/>
    <n v="0.64999997615814198"/>
    <n v="0.64999997615814198"/>
    <n v="0"/>
    <n v="0"/>
    <n v="0"/>
    <n v="0.64999997615814198"/>
    <n v="0"/>
    <n v="0"/>
    <n v="0"/>
    <n v="63"/>
    <n v="739"/>
    <n v="1890"/>
    <x v="0"/>
  </r>
  <r>
    <x v="33"/>
    <x v="16"/>
    <n v="4605"/>
    <n v="2.9500000476837198"/>
    <n v="2.9500000476837198"/>
    <n v="0"/>
    <n v="0"/>
    <n v="0"/>
    <n v="2.9500000476837198"/>
    <n v="0"/>
    <n v="0"/>
    <n v="0"/>
    <n v="179"/>
    <n v="1261"/>
    <n v="2253"/>
    <x v="0"/>
  </r>
  <r>
    <x v="33"/>
    <x v="17"/>
    <n v="178"/>
    <n v="0.109999999403954"/>
    <n v="0.109999999403954"/>
    <n v="0"/>
    <n v="0"/>
    <n v="0"/>
    <n v="0.109999999403954"/>
    <n v="0"/>
    <n v="0"/>
    <n v="0"/>
    <n v="12"/>
    <n v="1428"/>
    <n v="1725"/>
    <x v="0"/>
  </r>
  <r>
    <x v="33"/>
    <x v="18"/>
    <n v="20"/>
    <n v="9.9999997764825804E-3"/>
    <n v="9.9999997764825804E-3"/>
    <n v="0"/>
    <n v="0"/>
    <n v="0"/>
    <n v="9.9999997764825804E-3"/>
    <n v="0"/>
    <n v="0"/>
    <n v="0"/>
    <n v="6"/>
    <n v="598"/>
    <n v="728"/>
    <x v="0"/>
  </r>
  <r>
    <x v="34"/>
    <x v="7"/>
    <n v="18700"/>
    <n v="15.819999694824199"/>
    <n v="15.819999694824199"/>
    <n v="0"/>
    <n v="8.6999998092651403"/>
    <n v="0.15999999642372101"/>
    <n v="6.9099998474121103"/>
    <n v="0"/>
    <n v="67"/>
    <n v="3"/>
    <n v="247"/>
    <n v="1123"/>
    <n v="3527"/>
    <x v="0"/>
  </r>
  <r>
    <x v="34"/>
    <x v="8"/>
    <n v="27572"/>
    <n v="23.389999389648398"/>
    <n v="23.389999389648398"/>
    <n v="0"/>
    <n v="14.7200002670288"/>
    <n v="1.21000003814697"/>
    <n v="7.3400001525878897"/>
    <n v="9.9999997764825804E-3"/>
    <n v="116"/>
    <n v="24"/>
    <n v="260"/>
    <n v="1040"/>
    <n v="4220"/>
    <x v="0"/>
  </r>
  <r>
    <x v="34"/>
    <x v="9"/>
    <n v="15260"/>
    <n v="8.1899995803833008"/>
    <n v="8.1899995803833008"/>
    <n v="0"/>
    <n v="1.79999995231628"/>
    <n v="0.75"/>
    <n v="5.5700001716613796"/>
    <n v="0"/>
    <n v="106"/>
    <n v="17"/>
    <n v="259"/>
    <n v="1058"/>
    <n v="3864"/>
    <x v="0"/>
  </r>
  <r>
    <x v="34"/>
    <x v="10"/>
    <n v="20779"/>
    <n v="18.409999847412099"/>
    <n v="18.409999847412099"/>
    <n v="0"/>
    <n v="11.7299995422363"/>
    <n v="0.64999997615814198"/>
    <n v="6"/>
    <n v="0"/>
    <n v="78"/>
    <n v="16"/>
    <n v="208"/>
    <n v="1138"/>
    <n v="3662"/>
    <x v="0"/>
  </r>
  <r>
    <x v="34"/>
    <x v="11"/>
    <n v="10695"/>
    <n v="8.1199998855590803"/>
    <n v="8.1199998855590803"/>
    <n v="0"/>
    <n v="0.769999980926514"/>
    <n v="0.18000000715255701"/>
    <n v="7.0900001525878897"/>
    <n v="9.9999997764825804E-3"/>
    <n v="10"/>
    <n v="3"/>
    <n v="246"/>
    <n v="1181"/>
    <n v="2834"/>
    <x v="0"/>
  </r>
  <r>
    <x v="34"/>
    <x v="12"/>
    <n v="24136"/>
    <n v="20.909999847412099"/>
    <n v="20.909999847412099"/>
    <n v="0"/>
    <n v="12.2200002670288"/>
    <n v="0.54000002145767201"/>
    <n v="8.0799999237060494"/>
    <n v="0"/>
    <n v="87"/>
    <n v="16"/>
    <n v="318"/>
    <n v="1019"/>
    <n v="4039"/>
    <x v="0"/>
  </r>
  <r>
    <x v="34"/>
    <x v="13"/>
    <n v="10910"/>
    <n v="8.4200000762939506"/>
    <n v="8.4200000762939506"/>
    <n v="0"/>
    <n v="2.96000003814697"/>
    <n v="0.38999998569488498"/>
    <n v="5.0300002098083496"/>
    <n v="0"/>
    <n v="32"/>
    <n v="11"/>
    <n v="212"/>
    <n v="1185"/>
    <n v="2947"/>
    <x v="0"/>
  </r>
  <r>
    <x v="34"/>
    <x v="14"/>
    <n v="23014"/>
    <n v="20.389999389648398"/>
    <n v="20.389999389648398"/>
    <n v="0"/>
    <n v="11.1000003814697"/>
    <n v="0.62999999523162797"/>
    <n v="8.6199998855590803"/>
    <n v="0"/>
    <n v="70"/>
    <n v="29"/>
    <n v="359"/>
    <n v="982"/>
    <n v="4196"/>
    <x v="0"/>
  </r>
  <r>
    <x v="34"/>
    <x v="15"/>
    <n v="16470"/>
    <n v="8.0699996948242205"/>
    <n v="8.0699996948242205"/>
    <n v="0"/>
    <n v="0"/>
    <n v="1.9999999552965199E-2"/>
    <n v="8.0200004577636701"/>
    <n v="0"/>
    <n v="90"/>
    <n v="9"/>
    <n v="289"/>
    <n v="1052"/>
    <n v="3841"/>
    <x v="0"/>
  </r>
  <r>
    <x v="34"/>
    <x v="16"/>
    <n v="28497"/>
    <n v="27.530000686645501"/>
    <n v="27.530000686645501"/>
    <n v="0"/>
    <n v="21.920000076293899"/>
    <n v="1.12000000476837"/>
    <n v="4.46000003814697"/>
    <n v="0"/>
    <n v="128"/>
    <n v="46"/>
    <n v="211"/>
    <n v="1055"/>
    <n v="4526"/>
    <x v="0"/>
  </r>
  <r>
    <x v="34"/>
    <x v="17"/>
    <n v="10622"/>
    <n v="8.0600004196166992"/>
    <n v="8.0600004196166992"/>
    <n v="0"/>
    <n v="1.4700000286102299"/>
    <n v="0.15000000596046401"/>
    <n v="6.3699998855590803"/>
    <n v="9.9999997764825804E-3"/>
    <n v="18"/>
    <n v="7"/>
    <n v="225"/>
    <n v="1190"/>
    <n v="2820"/>
    <x v="0"/>
  </r>
  <r>
    <x v="34"/>
    <x v="18"/>
    <n v="2350"/>
    <n v="1.7799999713897701"/>
    <n v="1.7799999713897701"/>
    <n v="0"/>
    <n v="0"/>
    <n v="0"/>
    <n v="1.7799999713897701"/>
    <n v="0"/>
    <n v="0"/>
    <n v="0"/>
    <n v="58"/>
    <n v="531"/>
    <n v="93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1513C-8149-495A-A936-6B442CD2A43B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I28" firstHeaderRow="0" firstDataRow="1" firstDataCol="1" rowPageCount="1" colPageCount="1"/>
  <pivotFields count="18"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numFmtId="14" showAll="0">
      <items count="33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multipleItemSelectionAllowed="1" showAll="0">
      <items count="3">
        <item h="1" x="1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1"/>
  </rowFields>
  <rowItems count="23">
    <i>
      <x v="3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-1"/>
  </pageFields>
  <dataFields count="3">
    <dataField name="Average of TotalSteps" fld="2" subtotal="average" baseField="0" baseItem="0"/>
    <dataField name="Average of Calories" fld="14" subtotal="average" baseField="0" baseItem="0"/>
    <dataField name="Average of SedentaryMinutes" fld="13" subtotal="average" baseField="0" baseItem="0"/>
  </dataFields>
  <formats count="1"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3DCD4-B420-4937-BDFD-D977A66F44A4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9" firstHeaderRow="0" firstDataRow="1" firstDataCol="1" rowPageCount="1" colPageCount="1"/>
  <pivotFields count="1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umFmtId="14" showAll="0">
      <items count="33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multipleItemSelectionAllowed="1" showAll="0">
      <items count="3">
        <item h="1"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-1"/>
  </pageFields>
  <dataFields count="3">
    <dataField name="Average of TotalSteps" fld="2" subtotal="average" baseField="0" baseItem="0"/>
    <dataField name="Average of Calories" fld="14" subtotal="average" baseField="0" baseItem="0"/>
    <dataField name="Average of SedentaryMinutes" fld="13" subtotal="average" baseField="0" baseItem="0"/>
  </dataFields>
  <formats count="4">
    <format dxfId="4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3B106-6CB8-4425-9EE4-5BE94164C344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" firstHeaderRow="0" firstDataRow="0" firstDataCol="0" rowPageCount="1" colPageCount="1"/>
  <pivotFields count="18">
    <pivotField showAll="0"/>
    <pivotField numFmtId="14" showAll="0">
      <items count="33"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pageFields count="1">
    <pageField fld="1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6630B-C328-442C-9CD3-72FA4F744299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6" firstHeaderRow="1" firstDataRow="1" firstDataCol="1" rowPageCount="1" colPageCount="1"/>
  <pivotFields count="17">
    <pivotField showAll="0"/>
    <pivotField axis="axisRow" numFmtId="14" showAll="0">
      <items count="33"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1"/>
    <field x="16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1">
    <pageField fld="15" hier="-1"/>
  </pageFields>
  <dataFields count="1">
    <dataField name="Average of TotalSteps" fld="2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DFC9A-A2E1-456F-A21B-83F1F72A0E11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aysType">
  <location ref="M4:P7" firstHeaderRow="0" firstDataRow="1" firstDataCol="1" rowPageCount="1" colPageCount="1"/>
  <pivotFields count="17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multipleItemSelectionAllowed="1" showAll="0">
      <items count="3">
        <item h="1"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-1"/>
  </pageFields>
  <dataFields count="3">
    <dataField name="Average of TotalSteps" fld="2" subtotal="average" baseField="16" baseItem="0"/>
    <dataField name="Average of Calories" fld="14" subtotal="average" baseField="16" baseItem="1"/>
    <dataField name="Average of SedentaryMinutes" fld="13" subtotal="average" baseField="16" baseItem="1"/>
  </dataFields>
  <formats count="1">
    <format dxfId="2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8E4C3-4B59-4E39-BB04-9F893F384377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4" firstHeaderRow="0" firstDataRow="1" firstDataCol="0" rowPageCount="1" colPageCount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5" hier="-1"/>
  </pageFields>
  <dataFields count="4">
    <dataField name="Average of VeryActiveMinutes" fld="10" subtotal="average" baseField="0" baseItem="1"/>
    <dataField name="Average of FairlyActiveMinutes" fld="11" subtotal="average" baseField="0" baseItem="2"/>
    <dataField name="Average of LightlyActiveMinutes" fld="12" subtotal="average" baseField="0" baseItem="2"/>
    <dataField name="Average of SedentaryMinutes" fld="13" subtotal="average" baseField="0" baseItem="2"/>
  </dataFields>
  <formats count="1">
    <format dxfId="8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BF88A-8388-4C25-B366-FC492E83FD3D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5" firstHeaderRow="0" firstDataRow="1" firstDataCol="0"/>
  <pivotFields count="17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Steps" fld="2" baseField="0" baseItem="0"/>
    <dataField name="Sum of Calori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21F5-9955-42CC-9F47-8233BF619398}">
  <dimension ref="A1:S458"/>
  <sheetViews>
    <sheetView tabSelected="1" topLeftCell="D1" zoomScale="90" zoomScaleNormal="90" workbookViewId="0">
      <selection activeCell="L14" sqref="L14"/>
    </sheetView>
  </sheetViews>
  <sheetFormatPr defaultRowHeight="14.4" x14ac:dyDescent="0.3"/>
  <cols>
    <col min="1" max="1" width="11" bestFit="1" customWidth="1"/>
    <col min="2" max="2" width="13" style="1" bestFit="1" customWidth="1"/>
    <col min="3" max="3" width="12.109375" bestFit="1" customWidth="1"/>
    <col min="4" max="4" width="15.109375" bestFit="1" customWidth="1"/>
    <col min="5" max="5" width="17.21875" bestFit="1" customWidth="1"/>
    <col min="6" max="6" width="17.44140625" customWidth="1"/>
    <col min="7" max="7" width="19.5546875" bestFit="1" customWidth="1"/>
    <col min="8" max="8" width="24.44140625" bestFit="1" customWidth="1"/>
    <col min="9" max="9" width="19.109375" bestFit="1" customWidth="1"/>
    <col min="10" max="10" width="12.88671875" customWidth="1"/>
    <col min="11" max="11" width="18.109375" bestFit="1" customWidth="1"/>
    <col min="12" max="12" width="20" bestFit="1" customWidth="1"/>
    <col min="13" max="13" width="20.6640625" bestFit="1" customWidth="1"/>
    <col min="14" max="14" width="18.44140625" bestFit="1" customWidth="1"/>
    <col min="18" max="18" width="16.6640625" bestFit="1" customWidth="1"/>
    <col min="19" max="19" width="16.6640625" customWidth="1"/>
  </cols>
  <sheetData>
    <row r="1" spans="1:1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26</v>
      </c>
      <c r="R1" t="s">
        <v>30</v>
      </c>
      <c r="S1" t="s">
        <v>54</v>
      </c>
    </row>
    <row r="2" spans="1:19" x14ac:dyDescent="0.3">
      <c r="A2">
        <v>1503960366</v>
      </c>
      <c r="B2" s="1">
        <v>42454</v>
      </c>
      <c r="C2">
        <v>11004</v>
      </c>
      <c r="D2">
        <v>7.1100001335143999</v>
      </c>
      <c r="E2">
        <v>7.1100001335143999</v>
      </c>
      <c r="F2">
        <v>0</v>
      </c>
      <c r="G2">
        <v>2.5699999332428001</v>
      </c>
      <c r="H2">
        <v>0.46000000834464999</v>
      </c>
      <c r="I2">
        <v>4.0700001716613796</v>
      </c>
      <c r="J2">
        <v>0</v>
      </c>
      <c r="K2">
        <v>33</v>
      </c>
      <c r="L2">
        <v>12</v>
      </c>
      <c r="M2">
        <v>205</v>
      </c>
      <c r="N2">
        <v>804</v>
      </c>
      <c r="O2">
        <v>1819</v>
      </c>
      <c r="P2" t="str">
        <f>IF(AND(C2=0,D2=0,L2&gt;0),"Invalid","Valid")</f>
        <v>Valid</v>
      </c>
      <c r="Q2" t="str">
        <f>IF(WEEKDAY(B2,2)&gt;5,"weekends","weekdays")</f>
        <v>weekdays</v>
      </c>
      <c r="R2" t="str" cm="1">
        <f t="array" ref="R2">_xlfn.IFS(
N2=MAX(K2,L2,M2,N2),"Sedentary",M2
=MAX(K2,L2,M2,N2),"Active",
L2=MAX(K2,L2,M2,N2),"Fairly Active",
K2=MAX(K2,L2,M2,N2),"Very Active"
)</f>
        <v>Sedentary</v>
      </c>
      <c r="S2" t="str">
        <f>IF(N3&gt;(K3+L3+M3),"Sedentary","Active")</f>
        <v>Sedentary</v>
      </c>
    </row>
    <row r="3" spans="1:19" x14ac:dyDescent="0.3">
      <c r="A3">
        <v>1503960366</v>
      </c>
      <c r="B3" s="1">
        <v>42455</v>
      </c>
      <c r="C3">
        <v>17609</v>
      </c>
      <c r="D3">
        <v>11.550000190734901</v>
      </c>
      <c r="E3">
        <v>11.550000190734901</v>
      </c>
      <c r="F3">
        <v>0</v>
      </c>
      <c r="G3">
        <v>6.9200000762939498</v>
      </c>
      <c r="H3">
        <v>0.730000019073486</v>
      </c>
      <c r="I3">
        <v>3.9100000858306898</v>
      </c>
      <c r="J3">
        <v>0</v>
      </c>
      <c r="K3">
        <v>89</v>
      </c>
      <c r="L3">
        <v>17</v>
      </c>
      <c r="M3">
        <v>274</v>
      </c>
      <c r="N3">
        <v>588</v>
      </c>
      <c r="O3">
        <v>2154</v>
      </c>
      <c r="P3" t="str">
        <f t="shared" ref="P3:P52" si="0">IF(AND(C3=0,D3=0,L3&gt;0),"Invalid","Valid")</f>
        <v>Valid</v>
      </c>
      <c r="Q3" t="str">
        <f t="shared" ref="Q3:Q66" si="1">IF(WEEKDAY(B3,2)&gt;5,"weekends","weekdays")</f>
        <v>weekends</v>
      </c>
      <c r="R3" t="str" cm="1">
        <f t="array" ref="R3">_xlfn.IFS(
N3=MAX(K3,L3,M3,N3),"Sedentary",M3
=MAX(K3,L3,M3,N3),"Lightly Active",
L3=MAX(K3,L3,M3,N3),"Fairly Active",
K3=MAX(K3,L3,M3,N3),"Very Active"
)</f>
        <v>Sedentary</v>
      </c>
      <c r="S3" t="str">
        <f t="shared" ref="S3:S66" si="2">IF(N4&gt;(K4+L4+M4),"Sedentary","Active")</f>
        <v>Sedentary</v>
      </c>
    </row>
    <row r="4" spans="1:19" x14ac:dyDescent="0.3">
      <c r="A4">
        <v>1503960366</v>
      </c>
      <c r="B4" s="1">
        <v>42456</v>
      </c>
      <c r="C4">
        <v>12736</v>
      </c>
      <c r="D4">
        <v>8.5299997329711896</v>
      </c>
      <c r="E4">
        <v>8.5299997329711896</v>
      </c>
      <c r="F4">
        <v>0</v>
      </c>
      <c r="G4">
        <v>4.6599998474121103</v>
      </c>
      <c r="H4">
        <v>0.15999999642372101</v>
      </c>
      <c r="I4">
        <v>3.71000003814697</v>
      </c>
      <c r="J4">
        <v>0</v>
      </c>
      <c r="K4">
        <v>56</v>
      </c>
      <c r="L4">
        <v>5</v>
      </c>
      <c r="M4">
        <v>268</v>
      </c>
      <c r="N4">
        <v>605</v>
      </c>
      <c r="O4">
        <v>1944</v>
      </c>
      <c r="P4" t="str">
        <f t="shared" si="0"/>
        <v>Valid</v>
      </c>
      <c r="Q4" t="str">
        <f t="shared" si="1"/>
        <v>weekends</v>
      </c>
      <c r="R4" t="str" cm="1">
        <f t="array" ref="R4">_xlfn.IFS(
N4=MAX(K4,L4,M4,N4),"Sedentary",M4
=MAX(K4,L4,M4,N4),"Lightly Active",
L4=MAX(K4,L4,M4,N4),"Fairly Active",
K4=MAX(K4,L4,M4,N4),"Very Active"
)</f>
        <v>Sedentary</v>
      </c>
      <c r="S4" t="str">
        <f t="shared" si="2"/>
        <v>Sedentary</v>
      </c>
    </row>
    <row r="5" spans="1:19" x14ac:dyDescent="0.3">
      <c r="A5">
        <v>1503960366</v>
      </c>
      <c r="B5" s="1">
        <v>42457</v>
      </c>
      <c r="C5">
        <v>13231</v>
      </c>
      <c r="D5">
        <v>8.9300003051757795</v>
      </c>
      <c r="E5">
        <v>8.9300003051757795</v>
      </c>
      <c r="F5">
        <v>0</v>
      </c>
      <c r="G5">
        <v>3.1900000572204599</v>
      </c>
      <c r="H5">
        <v>0.79000002145767201</v>
      </c>
      <c r="I5">
        <v>4.9499998092651403</v>
      </c>
      <c r="J5">
        <v>0</v>
      </c>
      <c r="K5">
        <v>39</v>
      </c>
      <c r="L5">
        <v>20</v>
      </c>
      <c r="M5">
        <v>224</v>
      </c>
      <c r="N5">
        <v>1080</v>
      </c>
      <c r="O5">
        <v>1932</v>
      </c>
      <c r="P5" t="str">
        <f t="shared" si="0"/>
        <v>Valid</v>
      </c>
      <c r="Q5" t="str">
        <f t="shared" si="1"/>
        <v>weekdays</v>
      </c>
      <c r="R5" t="str" cm="1">
        <f t="array" ref="R5">_xlfn.IFS(
N5=MAX(K5,L5,M5,N5),"Sedentary",M5
=MAX(K5,L5,M5,N5),"Lightly Active",
L5=MAX(K5,L5,M5,N5),"Fairly Active",
K5=MAX(K5,L5,M5,N5),"Very Active"
)</f>
        <v>Sedentary</v>
      </c>
      <c r="S5" t="str">
        <f t="shared" si="2"/>
        <v>Sedentary</v>
      </c>
    </row>
    <row r="6" spans="1:19" x14ac:dyDescent="0.3">
      <c r="A6">
        <v>1503960366</v>
      </c>
      <c r="B6" s="1">
        <v>42458</v>
      </c>
      <c r="C6">
        <v>12041</v>
      </c>
      <c r="D6">
        <v>7.8499999046325701</v>
      </c>
      <c r="E6">
        <v>7.8499999046325701</v>
      </c>
      <c r="F6">
        <v>0</v>
      </c>
      <c r="G6">
        <v>2.1600000858306898</v>
      </c>
      <c r="H6">
        <v>1.0900000333786</v>
      </c>
      <c r="I6">
        <v>4.6100001335143999</v>
      </c>
      <c r="J6">
        <v>0</v>
      </c>
      <c r="K6">
        <v>28</v>
      </c>
      <c r="L6">
        <v>28</v>
      </c>
      <c r="M6">
        <v>243</v>
      </c>
      <c r="N6">
        <v>763</v>
      </c>
      <c r="O6">
        <v>1886</v>
      </c>
      <c r="P6" t="str">
        <f t="shared" si="0"/>
        <v>Valid</v>
      </c>
      <c r="Q6" t="str">
        <f t="shared" si="1"/>
        <v>weekdays</v>
      </c>
      <c r="R6" t="str" cm="1">
        <f t="array" ref="R6">_xlfn.IFS(
N6=MAX(K6,L6,M6,N6),"Sedentary",M6
=MAX(K6,L6,M6,N6),"Lightly Active",
L6=MAX(K6,L6,M6,N6),"Fairly Active",
K6=MAX(K6,L6,M6,N6),"Very Active"
)</f>
        <v>Sedentary</v>
      </c>
      <c r="S6" t="str">
        <f t="shared" si="2"/>
        <v>Sedentary</v>
      </c>
    </row>
    <row r="7" spans="1:19" x14ac:dyDescent="0.3">
      <c r="A7">
        <v>1503960366</v>
      </c>
      <c r="B7" s="1">
        <v>42459</v>
      </c>
      <c r="C7">
        <v>10970</v>
      </c>
      <c r="D7">
        <v>7.1599998474121103</v>
      </c>
      <c r="E7">
        <v>7.1599998474121103</v>
      </c>
      <c r="F7">
        <v>0</v>
      </c>
      <c r="G7">
        <v>2.3599998950958301</v>
      </c>
      <c r="H7">
        <v>0.50999999046325695</v>
      </c>
      <c r="I7">
        <v>4.28999996185303</v>
      </c>
      <c r="J7">
        <v>0</v>
      </c>
      <c r="K7">
        <v>30</v>
      </c>
      <c r="L7">
        <v>13</v>
      </c>
      <c r="M7">
        <v>223</v>
      </c>
      <c r="N7">
        <v>1174</v>
      </c>
      <c r="O7">
        <v>1820</v>
      </c>
      <c r="P7" t="str">
        <f t="shared" si="0"/>
        <v>Valid</v>
      </c>
      <c r="Q7" t="str">
        <f t="shared" si="1"/>
        <v>weekdays</v>
      </c>
      <c r="R7" t="str" cm="1">
        <f t="array" ref="R7">_xlfn.IFS(
N7=MAX(K7,L7,M7,N7),"Sedentary",M7
=MAX(K7,L7,M7,N7),"Lightly Active",
L7=MAX(K7,L7,M7,N7),"Fairly Active",
K7=MAX(K7,L7,M7,N7),"Very Active"
)</f>
        <v>Sedentary</v>
      </c>
      <c r="S7" t="str">
        <f t="shared" si="2"/>
        <v>Sedentary</v>
      </c>
    </row>
    <row r="8" spans="1:19" x14ac:dyDescent="0.3">
      <c r="A8">
        <v>1503960366</v>
      </c>
      <c r="B8" s="1">
        <v>42460</v>
      </c>
      <c r="C8">
        <v>12256</v>
      </c>
      <c r="D8">
        <v>7.8600001335143999</v>
      </c>
      <c r="E8">
        <v>7.8600001335143999</v>
      </c>
      <c r="F8">
        <v>0</v>
      </c>
      <c r="G8">
        <v>2.28999996185303</v>
      </c>
      <c r="H8">
        <v>0.490000009536743</v>
      </c>
      <c r="I8">
        <v>5.03999996185303</v>
      </c>
      <c r="J8">
        <v>0</v>
      </c>
      <c r="K8">
        <v>33</v>
      </c>
      <c r="L8">
        <v>12</v>
      </c>
      <c r="M8">
        <v>239</v>
      </c>
      <c r="N8">
        <v>820</v>
      </c>
      <c r="O8">
        <v>1889</v>
      </c>
      <c r="P8" t="str">
        <f t="shared" si="0"/>
        <v>Valid</v>
      </c>
      <c r="Q8" t="str">
        <f t="shared" si="1"/>
        <v>weekdays</v>
      </c>
      <c r="R8" t="str" cm="1">
        <f t="array" ref="R8">_xlfn.IFS(
N8=MAX(K8,L8,M8,N8),"Sedentary",M8
=MAX(K8,L8,M8,N8),"Lightly Active",
L8=MAX(K8,L8,M8,N8),"Fairly Active",
K8=MAX(K8,L8,M8,N8),"Very Active"
)</f>
        <v>Sedentary</v>
      </c>
      <c r="S8" t="str">
        <f t="shared" si="2"/>
        <v>Sedentary</v>
      </c>
    </row>
    <row r="9" spans="1:19" x14ac:dyDescent="0.3">
      <c r="A9">
        <v>1503960366</v>
      </c>
      <c r="B9" s="1">
        <v>42461</v>
      </c>
      <c r="C9">
        <v>12262</v>
      </c>
      <c r="D9">
        <v>7.8699998855590803</v>
      </c>
      <c r="E9">
        <v>7.8699998855590803</v>
      </c>
      <c r="F9">
        <v>0</v>
      </c>
      <c r="G9">
        <v>3.3199999332428001</v>
      </c>
      <c r="H9">
        <v>0.82999998331069902</v>
      </c>
      <c r="I9">
        <v>3.6400001049041699</v>
      </c>
      <c r="J9">
        <v>0</v>
      </c>
      <c r="K9">
        <v>47</v>
      </c>
      <c r="L9">
        <v>21</v>
      </c>
      <c r="M9">
        <v>200</v>
      </c>
      <c r="N9">
        <v>866</v>
      </c>
      <c r="O9">
        <v>1868</v>
      </c>
      <c r="P9" t="str">
        <f t="shared" si="0"/>
        <v>Valid</v>
      </c>
      <c r="Q9" t="str">
        <f t="shared" si="1"/>
        <v>weekdays</v>
      </c>
      <c r="R9" t="str" cm="1">
        <f t="array" ref="R9">_xlfn.IFS(
N9=MAX(K9,L9,M9,N9),"Sedentary",M9
=MAX(K9,L9,M9,N9),"Lightly Active",
L9=MAX(K9,L9,M9,N9),"Fairly Active",
K9=MAX(K9,L9,M9,N9),"Very Active"
)</f>
        <v>Sedentary</v>
      </c>
      <c r="S9" t="str">
        <f t="shared" si="2"/>
        <v>Sedentary</v>
      </c>
    </row>
    <row r="10" spans="1:19" x14ac:dyDescent="0.3">
      <c r="A10">
        <v>1503960366</v>
      </c>
      <c r="B10" s="1">
        <v>42462</v>
      </c>
      <c r="C10">
        <v>11248</v>
      </c>
      <c r="D10">
        <v>7.25</v>
      </c>
      <c r="E10">
        <v>7.25</v>
      </c>
      <c r="F10">
        <v>0</v>
      </c>
      <c r="G10">
        <v>3</v>
      </c>
      <c r="H10">
        <v>0.44999998807907099</v>
      </c>
      <c r="I10">
        <v>3.7400000095367401</v>
      </c>
      <c r="J10">
        <v>0</v>
      </c>
      <c r="K10">
        <v>40</v>
      </c>
      <c r="L10">
        <v>11</v>
      </c>
      <c r="M10">
        <v>244</v>
      </c>
      <c r="N10">
        <v>636</v>
      </c>
      <c r="O10">
        <v>1843</v>
      </c>
      <c r="P10" t="str">
        <f t="shared" si="0"/>
        <v>Valid</v>
      </c>
      <c r="Q10" t="str">
        <f t="shared" si="1"/>
        <v>weekends</v>
      </c>
      <c r="R10" t="str" cm="1">
        <f t="array" ref="R10">_xlfn.IFS(
N10=MAX(K10,L10,M10,N10),"Sedentary",M10
=MAX(K10,L10,M10,N10),"Lightly Active",
L10=MAX(K10,L10,M10,N10),"Fairly Active",
K10=MAX(K10,L10,M10,N10),"Very Active"
)</f>
        <v>Sedentary</v>
      </c>
      <c r="S10" t="str">
        <f t="shared" si="2"/>
        <v>Sedentary</v>
      </c>
    </row>
    <row r="11" spans="1:19" x14ac:dyDescent="0.3">
      <c r="A11">
        <v>1503960366</v>
      </c>
      <c r="B11" s="1">
        <v>42463</v>
      </c>
      <c r="C11">
        <v>10016</v>
      </c>
      <c r="D11">
        <v>6.3699998855590803</v>
      </c>
      <c r="E11">
        <v>6.3699998855590803</v>
      </c>
      <c r="F11">
        <v>0</v>
      </c>
      <c r="G11">
        <v>0.91000002622604403</v>
      </c>
      <c r="H11">
        <v>1.2799999713897701</v>
      </c>
      <c r="I11">
        <v>4.1799998283386204</v>
      </c>
      <c r="J11">
        <v>0</v>
      </c>
      <c r="K11">
        <v>15</v>
      </c>
      <c r="L11">
        <v>30</v>
      </c>
      <c r="M11">
        <v>314</v>
      </c>
      <c r="N11">
        <v>655</v>
      </c>
      <c r="O11">
        <v>1850</v>
      </c>
      <c r="P11" t="str">
        <f t="shared" si="0"/>
        <v>Valid</v>
      </c>
      <c r="Q11" t="str">
        <f t="shared" si="1"/>
        <v>weekends</v>
      </c>
      <c r="R11" t="str" cm="1">
        <f t="array" ref="R11">_xlfn.IFS(
N11=MAX(K11,L11,M11,N11),"Sedentary",M11
=MAX(K11,L11,M11,N11),"Lightly Active",
L11=MAX(K11,L11,M11,N11),"Fairly Active",
K11=MAX(K11,L11,M11,N11),"Very Active"
)</f>
        <v>Sedentary</v>
      </c>
      <c r="S11" t="str">
        <f t="shared" si="2"/>
        <v>Sedentary</v>
      </c>
    </row>
    <row r="12" spans="1:19" x14ac:dyDescent="0.3">
      <c r="A12">
        <v>1503960366</v>
      </c>
      <c r="B12" s="1">
        <v>42464</v>
      </c>
      <c r="C12">
        <v>14557</v>
      </c>
      <c r="D12">
        <v>9.8000001907348597</v>
      </c>
      <c r="E12">
        <v>9.8000001907348597</v>
      </c>
      <c r="F12">
        <v>0</v>
      </c>
      <c r="G12">
        <v>3.3900001049041699</v>
      </c>
      <c r="H12">
        <v>0.69999998807907104</v>
      </c>
      <c r="I12">
        <v>5.6900000572204599</v>
      </c>
      <c r="J12">
        <v>0</v>
      </c>
      <c r="K12">
        <v>43</v>
      </c>
      <c r="L12">
        <v>18</v>
      </c>
      <c r="M12">
        <v>285</v>
      </c>
      <c r="N12">
        <v>757</v>
      </c>
      <c r="O12">
        <v>2030</v>
      </c>
      <c r="P12" t="str">
        <f t="shared" si="0"/>
        <v>Valid</v>
      </c>
      <c r="Q12" t="str">
        <f t="shared" si="1"/>
        <v>weekdays</v>
      </c>
      <c r="R12" t="str" cm="1">
        <f t="array" ref="R12">_xlfn.IFS(
N12=MAX(K12,L12,M12,N12),"Sedentary",M12
=MAX(K12,L12,M12,N12),"Lightly Active",
L12=MAX(K12,L12,M12,N12),"Fairly Active",
K12=MAX(K12,L12,M12,N12),"Very Active"
)</f>
        <v>Sedentary</v>
      </c>
      <c r="S12" t="str">
        <f t="shared" si="2"/>
        <v>Sedentary</v>
      </c>
    </row>
    <row r="13" spans="1:19" x14ac:dyDescent="0.3">
      <c r="A13">
        <v>1503960366</v>
      </c>
      <c r="B13" s="1">
        <v>42465</v>
      </c>
      <c r="C13">
        <v>14844</v>
      </c>
      <c r="D13">
        <v>9.7299995422363299</v>
      </c>
      <c r="E13">
        <v>9.7299995422363299</v>
      </c>
      <c r="F13">
        <v>0</v>
      </c>
      <c r="G13">
        <v>2.9400000572204599</v>
      </c>
      <c r="H13">
        <v>0.75999999046325695</v>
      </c>
      <c r="I13">
        <v>6.03999996185303</v>
      </c>
      <c r="J13">
        <v>0</v>
      </c>
      <c r="K13">
        <v>36</v>
      </c>
      <c r="L13">
        <v>18</v>
      </c>
      <c r="M13">
        <v>341</v>
      </c>
      <c r="N13">
        <v>736</v>
      </c>
      <c r="O13">
        <v>2083</v>
      </c>
      <c r="P13" t="str">
        <f t="shared" si="0"/>
        <v>Valid</v>
      </c>
      <c r="Q13" t="str">
        <f t="shared" si="1"/>
        <v>weekdays</v>
      </c>
      <c r="R13" t="str" cm="1">
        <f t="array" ref="R13">_xlfn.IFS(
N13=MAX(K13,L13,M13,N13),"Sedentary",M13
=MAX(K13,L13,M13,N13),"Lightly Active",
L13=MAX(K13,L13,M13,N13),"Fairly Active",
K13=MAX(K13,L13,M13,N13),"Very Active"
)</f>
        <v>Sedentary</v>
      </c>
      <c r="S13" t="str">
        <f t="shared" si="2"/>
        <v>Sedentary</v>
      </c>
    </row>
    <row r="14" spans="1:19" x14ac:dyDescent="0.3">
      <c r="A14">
        <v>1503960366</v>
      </c>
      <c r="B14" s="1">
        <v>42466</v>
      </c>
      <c r="C14">
        <v>11974</v>
      </c>
      <c r="D14">
        <v>7.6700000762939498</v>
      </c>
      <c r="E14">
        <v>7.6700000762939498</v>
      </c>
      <c r="F14">
        <v>0</v>
      </c>
      <c r="G14">
        <v>2.03999996185303</v>
      </c>
      <c r="H14">
        <v>0.479999989271164</v>
      </c>
      <c r="I14">
        <v>5.1500000953674299</v>
      </c>
      <c r="J14">
        <v>0</v>
      </c>
      <c r="K14">
        <v>27</v>
      </c>
      <c r="L14">
        <v>12</v>
      </c>
      <c r="M14">
        <v>228</v>
      </c>
      <c r="N14">
        <v>1173</v>
      </c>
      <c r="O14">
        <v>1861</v>
      </c>
      <c r="P14" t="str">
        <f t="shared" si="0"/>
        <v>Valid</v>
      </c>
      <c r="Q14" t="str">
        <f t="shared" si="1"/>
        <v>weekdays</v>
      </c>
      <c r="R14" t="str" cm="1">
        <f t="array" ref="R14">_xlfn.IFS(
N14=MAX(K14,L14,M14,N14),"Sedentary",M14
=MAX(K14,L14,M14,N14),"Lightly Active",
L14=MAX(K14,L14,M14,N14),"Fairly Active",
K14=MAX(K14,L14,M14,N14),"Very Active"
)</f>
        <v>Sedentary</v>
      </c>
      <c r="S14" t="str">
        <f t="shared" si="2"/>
        <v>Sedentary</v>
      </c>
    </row>
    <row r="15" spans="1:19" x14ac:dyDescent="0.3">
      <c r="A15">
        <v>1503960366</v>
      </c>
      <c r="B15" s="1">
        <v>42467</v>
      </c>
      <c r="C15">
        <v>10198</v>
      </c>
      <c r="D15">
        <v>6.4400000572204599</v>
      </c>
      <c r="E15">
        <v>6.4400000572204599</v>
      </c>
      <c r="F15">
        <v>0</v>
      </c>
      <c r="G15">
        <v>1.20000004768372</v>
      </c>
      <c r="H15">
        <v>0.79000002145767201</v>
      </c>
      <c r="I15">
        <v>4.4499998092651403</v>
      </c>
      <c r="J15">
        <v>0</v>
      </c>
      <c r="K15">
        <v>17</v>
      </c>
      <c r="L15">
        <v>20</v>
      </c>
      <c r="M15">
        <v>195</v>
      </c>
      <c r="N15">
        <v>1208</v>
      </c>
      <c r="O15">
        <v>1755</v>
      </c>
      <c r="P15" t="str">
        <f t="shared" si="0"/>
        <v>Valid</v>
      </c>
      <c r="Q15" t="str">
        <f t="shared" si="1"/>
        <v>weekdays</v>
      </c>
      <c r="R15" t="str" cm="1">
        <f t="array" ref="R15">_xlfn.IFS(
N15=MAX(K15,L15,M15,N15),"Sedentary",M15
=MAX(K15,L15,M15,N15),"Lightly Active",
L15=MAX(K15,L15,M15,N15),"Fairly Active",
K15=MAX(K15,L15,M15,N15),"Very Active"
)</f>
        <v>Sedentary</v>
      </c>
      <c r="S15" t="str">
        <f t="shared" si="2"/>
        <v>Sedentary</v>
      </c>
    </row>
    <row r="16" spans="1:19" x14ac:dyDescent="0.3">
      <c r="A16">
        <v>1503960366</v>
      </c>
      <c r="B16" s="1">
        <v>42468</v>
      </c>
      <c r="C16">
        <v>12521</v>
      </c>
      <c r="D16">
        <v>7.9400000572204599</v>
      </c>
      <c r="E16">
        <v>7.9400000572204599</v>
      </c>
      <c r="F16">
        <v>0</v>
      </c>
      <c r="G16">
        <v>3.3099999427795401</v>
      </c>
      <c r="H16">
        <v>0.89999997615814198</v>
      </c>
      <c r="I16">
        <v>3.7400000095367401</v>
      </c>
      <c r="J16">
        <v>0</v>
      </c>
      <c r="K16">
        <v>46</v>
      </c>
      <c r="L16">
        <v>22</v>
      </c>
      <c r="M16">
        <v>212</v>
      </c>
      <c r="N16">
        <v>1160</v>
      </c>
      <c r="O16">
        <v>1895</v>
      </c>
      <c r="P16" t="str">
        <f t="shared" si="0"/>
        <v>Valid</v>
      </c>
      <c r="Q16" t="str">
        <f t="shared" si="1"/>
        <v>weekdays</v>
      </c>
      <c r="R16" t="str" cm="1">
        <f t="array" ref="R16">_xlfn.IFS(
N16=MAX(K16,L16,M16,N16),"Sedentary",M16
=MAX(K16,L16,M16,N16),"Lightly Active",
L16=MAX(K16,L16,M16,N16),"Fairly Active",
K16=MAX(K16,L16,M16,N16),"Very Active"
)</f>
        <v>Sedentary</v>
      </c>
      <c r="S16" t="str">
        <f t="shared" si="2"/>
        <v>Sedentary</v>
      </c>
    </row>
    <row r="17" spans="1:19" x14ac:dyDescent="0.3">
      <c r="A17">
        <v>1503960366</v>
      </c>
      <c r="B17" s="1">
        <v>42469</v>
      </c>
      <c r="C17">
        <v>12432</v>
      </c>
      <c r="D17">
        <v>8.1000003814697301</v>
      </c>
      <c r="E17">
        <v>8.1000003814697301</v>
      </c>
      <c r="F17">
        <v>0</v>
      </c>
      <c r="G17">
        <v>2.5899999141693102</v>
      </c>
      <c r="H17">
        <v>0.58999997377395597</v>
      </c>
      <c r="I17">
        <v>4.9200000762939498</v>
      </c>
      <c r="J17">
        <v>0</v>
      </c>
      <c r="K17">
        <v>32</v>
      </c>
      <c r="L17">
        <v>15</v>
      </c>
      <c r="M17">
        <v>248</v>
      </c>
      <c r="N17">
        <v>738</v>
      </c>
      <c r="O17">
        <v>1883</v>
      </c>
      <c r="P17" t="str">
        <f t="shared" si="0"/>
        <v>Valid</v>
      </c>
      <c r="Q17" t="str">
        <f t="shared" si="1"/>
        <v>weekends</v>
      </c>
      <c r="R17" t="str" cm="1">
        <f t="array" ref="R17">_xlfn.IFS(
N17=MAX(K17,L17,M17,N17),"Sedentary",M17
=MAX(K17,L17,M17,N17),"Lightly Active",
L17=MAX(K17,L17,M17,N17),"Fairly Active",
K17=MAX(K17,L17,M17,N17),"Very Active"
)</f>
        <v>Sedentary</v>
      </c>
      <c r="S17" t="str">
        <f t="shared" si="2"/>
        <v>Sedentary</v>
      </c>
    </row>
    <row r="18" spans="1:19" x14ac:dyDescent="0.3">
      <c r="A18">
        <v>1503960366</v>
      </c>
      <c r="B18" s="1">
        <v>42470</v>
      </c>
      <c r="C18">
        <v>10057</v>
      </c>
      <c r="D18">
        <v>6.9800000190734899</v>
      </c>
      <c r="E18">
        <v>6.9800000190734899</v>
      </c>
      <c r="F18">
        <v>0</v>
      </c>
      <c r="G18">
        <v>4</v>
      </c>
      <c r="H18">
        <v>0.490000009536743</v>
      </c>
      <c r="I18">
        <v>2.4800000190734899</v>
      </c>
      <c r="J18">
        <v>0</v>
      </c>
      <c r="K18">
        <v>44</v>
      </c>
      <c r="L18">
        <v>13</v>
      </c>
      <c r="M18">
        <v>168</v>
      </c>
      <c r="N18">
        <v>737</v>
      </c>
      <c r="O18">
        <v>1755</v>
      </c>
      <c r="P18" t="str">
        <f t="shared" si="0"/>
        <v>Valid</v>
      </c>
      <c r="Q18" t="str">
        <f t="shared" si="1"/>
        <v>weekends</v>
      </c>
      <c r="R18" t="str" cm="1">
        <f t="array" ref="R18">_xlfn.IFS(
N18=MAX(K18,L18,M18,N18),"Sedentary",M18
=MAX(K18,L18,M18,N18),"Lightly Active",
L18=MAX(K18,L18,M18,N18),"Fairly Active",
K18=MAX(K18,L18,M18,N18),"Very Active"
)</f>
        <v>Sedentary</v>
      </c>
      <c r="S18" t="str">
        <f t="shared" si="2"/>
        <v>Sedentary</v>
      </c>
    </row>
    <row r="19" spans="1:19" x14ac:dyDescent="0.3">
      <c r="A19">
        <v>1503960366</v>
      </c>
      <c r="B19" s="1">
        <v>42471</v>
      </c>
      <c r="C19">
        <v>10990</v>
      </c>
      <c r="D19">
        <v>7.2600002288818404</v>
      </c>
      <c r="E19">
        <v>7.2600002288818404</v>
      </c>
      <c r="F19">
        <v>0</v>
      </c>
      <c r="G19">
        <v>2.03999996185303</v>
      </c>
      <c r="H19">
        <v>0.56999999284744296</v>
      </c>
      <c r="I19">
        <v>4.6500000953674299</v>
      </c>
      <c r="J19">
        <v>0</v>
      </c>
      <c r="K19">
        <v>26</v>
      </c>
      <c r="L19">
        <v>14</v>
      </c>
      <c r="M19">
        <v>216</v>
      </c>
      <c r="N19">
        <v>855</v>
      </c>
      <c r="O19">
        <v>1811</v>
      </c>
      <c r="P19" t="str">
        <f t="shared" si="0"/>
        <v>Valid</v>
      </c>
      <c r="Q19" t="str">
        <f t="shared" si="1"/>
        <v>weekdays</v>
      </c>
      <c r="R19" t="str" cm="1">
        <f t="array" ref="R19">_xlfn.IFS(
N19=MAX(K19,L19,M19,N19),"Sedentary",M19
=MAX(K19,L19,M19,N19),"Lightly Active",
L19=MAX(K19,L19,M19,N19),"Fairly Active",
K19=MAX(K19,L19,M19,N19),"Very Active"
)</f>
        <v>Sedentary</v>
      </c>
      <c r="S19" t="str">
        <f t="shared" si="2"/>
        <v>Sedentary</v>
      </c>
    </row>
    <row r="20" spans="1:19" x14ac:dyDescent="0.3">
      <c r="A20">
        <v>1503960366</v>
      </c>
      <c r="B20" s="1">
        <v>42472</v>
      </c>
      <c r="C20">
        <v>224</v>
      </c>
      <c r="D20">
        <v>0.140000000596046</v>
      </c>
      <c r="E20">
        <v>0.140000000596046</v>
      </c>
      <c r="F20">
        <v>0</v>
      </c>
      <c r="G20">
        <v>0</v>
      </c>
      <c r="H20">
        <v>0</v>
      </c>
      <c r="I20">
        <v>0.129999995231628</v>
      </c>
      <c r="J20">
        <v>0</v>
      </c>
      <c r="K20">
        <v>0</v>
      </c>
      <c r="L20">
        <v>0</v>
      </c>
      <c r="M20">
        <v>9</v>
      </c>
      <c r="N20">
        <v>32</v>
      </c>
      <c r="O20">
        <v>50</v>
      </c>
      <c r="P20" t="str">
        <f t="shared" si="0"/>
        <v>Valid</v>
      </c>
      <c r="Q20" t="str">
        <f t="shared" si="1"/>
        <v>weekdays</v>
      </c>
      <c r="R20" t="str" cm="1">
        <f t="array" ref="R20">_xlfn.IFS(
N20=MAX(K20,L20,M20,N20),"Sedentary",M20
=MAX(K20,L20,M20,N20),"Lightly Active",
L20=MAX(K20,L20,M20,N20),"Fairly Active",
K20=MAX(K20,L20,M20,N20),"Very Active"
)</f>
        <v>Sedentary</v>
      </c>
      <c r="S20" t="str">
        <f t="shared" si="2"/>
        <v>Sedentary</v>
      </c>
    </row>
    <row r="21" spans="1:19" x14ac:dyDescent="0.3">
      <c r="A21">
        <v>1624580081</v>
      </c>
      <c r="B21" s="1">
        <v>42454</v>
      </c>
      <c r="C21">
        <v>1810</v>
      </c>
      <c r="D21">
        <v>1.1799999475479099</v>
      </c>
      <c r="E21">
        <v>1.1799999475479099</v>
      </c>
      <c r="F21">
        <v>0</v>
      </c>
      <c r="G21">
        <v>0</v>
      </c>
      <c r="H21">
        <v>0</v>
      </c>
      <c r="I21">
        <v>1.12999999523163</v>
      </c>
      <c r="J21">
        <v>9.9999997764825804E-3</v>
      </c>
      <c r="K21">
        <v>0</v>
      </c>
      <c r="L21">
        <v>0</v>
      </c>
      <c r="M21">
        <v>121</v>
      </c>
      <c r="N21">
        <v>1319</v>
      </c>
      <c r="O21">
        <v>1373</v>
      </c>
      <c r="P21" t="str">
        <f t="shared" si="0"/>
        <v>Valid</v>
      </c>
      <c r="Q21" t="str">
        <f t="shared" si="1"/>
        <v>weekdays</v>
      </c>
      <c r="R21" t="str" cm="1">
        <f t="array" ref="R21">_xlfn.IFS(
N21=MAX(K21,L21,M21,N21),"Sedentary",M21
=MAX(K21,L21,M21,N21),"Lightly Active",
L21=MAX(K21,L21,M21,N21),"Fairly Active",
K21=MAX(K21,L21,M21,N21),"Very Active"
)</f>
        <v>Sedentary</v>
      </c>
      <c r="S21" t="str">
        <f t="shared" si="2"/>
        <v>Sedentary</v>
      </c>
    </row>
    <row r="22" spans="1:19" x14ac:dyDescent="0.3">
      <c r="A22">
        <v>1624580081</v>
      </c>
      <c r="B22" s="1">
        <v>42455</v>
      </c>
      <c r="C22">
        <v>815</v>
      </c>
      <c r="D22">
        <v>0.52999997138977095</v>
      </c>
      <c r="E22">
        <v>0.52999997138977095</v>
      </c>
      <c r="F22">
        <v>0</v>
      </c>
      <c r="G22">
        <v>0</v>
      </c>
      <c r="H22">
        <v>0</v>
      </c>
      <c r="I22">
        <v>0.52999997138977095</v>
      </c>
      <c r="J22">
        <v>0</v>
      </c>
      <c r="K22">
        <v>0</v>
      </c>
      <c r="L22">
        <v>0</v>
      </c>
      <c r="M22">
        <v>47</v>
      </c>
      <c r="N22">
        <v>1393</v>
      </c>
      <c r="O22">
        <v>1264</v>
      </c>
      <c r="P22" t="str">
        <f t="shared" si="0"/>
        <v>Valid</v>
      </c>
      <c r="Q22" t="str">
        <f t="shared" si="1"/>
        <v>weekends</v>
      </c>
      <c r="R22" t="str" cm="1">
        <f t="array" ref="R22">_xlfn.IFS(
N22=MAX(K22,L22,M22,N22),"Sedentary",M22
=MAX(K22,L22,M22,N22),"Lightly Active",
L22=MAX(K22,L22,M22,N22),"Fairly Active",
K22=MAX(K22,L22,M22,N22),"Very Active"
)</f>
        <v>Sedentary</v>
      </c>
      <c r="S22" t="str">
        <f t="shared" si="2"/>
        <v>Sedentary</v>
      </c>
    </row>
    <row r="23" spans="1:19" x14ac:dyDescent="0.3">
      <c r="A23">
        <v>1624580081</v>
      </c>
      <c r="B23" s="1">
        <v>42456</v>
      </c>
      <c r="C23">
        <v>1985</v>
      </c>
      <c r="D23">
        <v>1.28999996185303</v>
      </c>
      <c r="E23">
        <v>1.28999996185303</v>
      </c>
      <c r="F23">
        <v>0</v>
      </c>
      <c r="G23">
        <v>0</v>
      </c>
      <c r="H23">
        <v>0</v>
      </c>
      <c r="I23">
        <v>1.2799999713897701</v>
      </c>
      <c r="J23">
        <v>9.9999997764825804E-3</v>
      </c>
      <c r="K23">
        <v>0</v>
      </c>
      <c r="L23">
        <v>0</v>
      </c>
      <c r="M23">
        <v>112</v>
      </c>
      <c r="N23">
        <v>1328</v>
      </c>
      <c r="O23">
        <v>1350</v>
      </c>
      <c r="P23" t="str">
        <f t="shared" si="0"/>
        <v>Valid</v>
      </c>
      <c r="Q23" t="str">
        <f t="shared" si="1"/>
        <v>weekends</v>
      </c>
      <c r="R23" t="str" cm="1">
        <f t="array" ref="R23">_xlfn.IFS(
N23=MAX(K23,L23,M23,N23),"Sedentary",M23
=MAX(K23,L23,M23,N23),"Lightly Active",
L23=MAX(K23,L23,M23,N23),"Fairly Active",
K23=MAX(K23,L23,M23,N23),"Very Active"
)</f>
        <v>Sedentary</v>
      </c>
      <c r="S23" t="str">
        <f t="shared" si="2"/>
        <v>Sedentary</v>
      </c>
    </row>
    <row r="24" spans="1:19" x14ac:dyDescent="0.3">
      <c r="A24">
        <v>1624580081</v>
      </c>
      <c r="B24" s="1">
        <v>42457</v>
      </c>
      <c r="C24">
        <v>1905</v>
      </c>
      <c r="D24">
        <v>1.2400000095367401</v>
      </c>
      <c r="E24">
        <v>1.2400000095367401</v>
      </c>
      <c r="F24">
        <v>0</v>
      </c>
      <c r="G24">
        <v>0</v>
      </c>
      <c r="H24">
        <v>0</v>
      </c>
      <c r="I24">
        <v>1.2400000095367401</v>
      </c>
      <c r="J24">
        <v>0</v>
      </c>
      <c r="K24">
        <v>0</v>
      </c>
      <c r="L24">
        <v>0</v>
      </c>
      <c r="M24">
        <v>95</v>
      </c>
      <c r="N24">
        <v>1345</v>
      </c>
      <c r="O24">
        <v>1342</v>
      </c>
      <c r="P24" t="str">
        <f t="shared" si="0"/>
        <v>Valid</v>
      </c>
      <c r="Q24" t="str">
        <f t="shared" si="1"/>
        <v>weekdays</v>
      </c>
      <c r="R24" t="str" cm="1">
        <f t="array" ref="R24">_xlfn.IFS(
N24=MAX(K24,L24,M24,N24),"Sedentary",M24
=MAX(K24,L24,M24,N24),"Lightly Active",
L24=MAX(K24,L24,M24,N24),"Fairly Active",
K24=MAX(K24,L24,M24,N24),"Very Active"
)</f>
        <v>Sedentary</v>
      </c>
      <c r="S24" t="str">
        <f t="shared" si="2"/>
        <v>Sedentary</v>
      </c>
    </row>
    <row r="25" spans="1:19" x14ac:dyDescent="0.3">
      <c r="A25">
        <v>1624580081</v>
      </c>
      <c r="B25" s="1">
        <v>42458</v>
      </c>
      <c r="C25">
        <v>1552</v>
      </c>
      <c r="D25">
        <v>1.0099999904632599</v>
      </c>
      <c r="E25">
        <v>1.0099999904632599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66</v>
      </c>
      <c r="N25">
        <v>1374</v>
      </c>
      <c r="O25">
        <v>1300</v>
      </c>
      <c r="P25" t="str">
        <f t="shared" si="0"/>
        <v>Valid</v>
      </c>
      <c r="Q25" t="str">
        <f t="shared" si="1"/>
        <v>weekdays</v>
      </c>
      <c r="R25" t="str" cm="1">
        <f t="array" ref="R25">_xlfn.IFS(
N25=MAX(K25,L25,M25,N25),"Sedentary",M25
=MAX(K25,L25,M25,N25),"Lightly Active",
L25=MAX(K25,L25,M25,N25),"Fairly Active",
K25=MAX(K25,L25,M25,N25),"Very Active"
)</f>
        <v>Sedentary</v>
      </c>
      <c r="S25" t="str">
        <f t="shared" si="2"/>
        <v>Sedentary</v>
      </c>
    </row>
    <row r="26" spans="1:19" x14ac:dyDescent="0.3">
      <c r="A26">
        <v>1624580081</v>
      </c>
      <c r="B26" s="1">
        <v>42459</v>
      </c>
      <c r="C26">
        <v>1675</v>
      </c>
      <c r="D26">
        <v>1.0900000333786</v>
      </c>
      <c r="E26">
        <v>1.0900000333786</v>
      </c>
      <c r="F26">
        <v>0</v>
      </c>
      <c r="G26">
        <v>0</v>
      </c>
      <c r="H26">
        <v>0</v>
      </c>
      <c r="I26">
        <v>1.0900000333786</v>
      </c>
      <c r="J26">
        <v>0</v>
      </c>
      <c r="K26">
        <v>0</v>
      </c>
      <c r="L26">
        <v>0</v>
      </c>
      <c r="M26">
        <v>84</v>
      </c>
      <c r="N26">
        <v>1356</v>
      </c>
      <c r="O26">
        <v>1313</v>
      </c>
      <c r="P26" t="str">
        <f t="shared" si="0"/>
        <v>Valid</v>
      </c>
      <c r="Q26" t="str">
        <f t="shared" si="1"/>
        <v>weekdays</v>
      </c>
      <c r="R26" t="str" cm="1">
        <f t="array" ref="R26">_xlfn.IFS(
N26=MAX(K26,L26,M26,N26),"Sedentary",M26
=MAX(K26,L26,M26,N26),"Lightly Active",
L26=MAX(K26,L26,M26,N26),"Fairly Active",
K26=MAX(K26,L26,M26,N26),"Very Active"
)</f>
        <v>Sedentary</v>
      </c>
      <c r="S26" t="str">
        <f t="shared" si="2"/>
        <v>Sedentary</v>
      </c>
    </row>
    <row r="27" spans="1:19" x14ac:dyDescent="0.3">
      <c r="A27">
        <v>1624580081</v>
      </c>
      <c r="B27" s="1">
        <v>42460</v>
      </c>
      <c r="C27">
        <v>4506</v>
      </c>
      <c r="D27">
        <v>2.9300000667571999</v>
      </c>
      <c r="E27">
        <v>2.9300000667571999</v>
      </c>
      <c r="F27">
        <v>0</v>
      </c>
      <c r="G27">
        <v>0.50999999046325695</v>
      </c>
      <c r="H27">
        <v>0.270000010728836</v>
      </c>
      <c r="I27">
        <v>2.1500000953674299</v>
      </c>
      <c r="J27">
        <v>9.9999997764825804E-3</v>
      </c>
      <c r="K27">
        <v>7</v>
      </c>
      <c r="L27">
        <v>4</v>
      </c>
      <c r="M27">
        <v>144</v>
      </c>
      <c r="N27">
        <v>1285</v>
      </c>
      <c r="O27">
        <v>1498</v>
      </c>
      <c r="P27" t="str">
        <f t="shared" si="0"/>
        <v>Valid</v>
      </c>
      <c r="Q27" t="str">
        <f t="shared" si="1"/>
        <v>weekdays</v>
      </c>
      <c r="R27" t="str" cm="1">
        <f t="array" ref="R27">_xlfn.IFS(
N27=MAX(K27,L27,M27,N27),"Sedentary",M27
=MAX(K27,L27,M27,N27),"Lightly Active",
L27=MAX(K27,L27,M27,N27),"Fairly Active",
K27=MAX(K27,L27,M27,N27),"Very Active"
)</f>
        <v>Sedentary</v>
      </c>
      <c r="S27" t="str">
        <f t="shared" si="2"/>
        <v>Sedentary</v>
      </c>
    </row>
    <row r="28" spans="1:19" x14ac:dyDescent="0.3">
      <c r="A28">
        <v>1624580081</v>
      </c>
      <c r="B28" s="1">
        <v>42461</v>
      </c>
      <c r="C28">
        <v>9218</v>
      </c>
      <c r="D28">
        <v>5.9899997711181596</v>
      </c>
      <c r="E28">
        <v>5.9899997711181596</v>
      </c>
      <c r="F28">
        <v>0</v>
      </c>
      <c r="G28">
        <v>0</v>
      </c>
      <c r="H28">
        <v>0</v>
      </c>
      <c r="I28">
        <v>5.9699997901916504</v>
      </c>
      <c r="J28">
        <v>9.9999997764825804E-3</v>
      </c>
      <c r="K28">
        <v>0</v>
      </c>
      <c r="L28">
        <v>0</v>
      </c>
      <c r="M28">
        <v>221</v>
      </c>
      <c r="N28">
        <v>1219</v>
      </c>
      <c r="O28">
        <v>1541</v>
      </c>
      <c r="P28" t="str">
        <f t="shared" si="0"/>
        <v>Valid</v>
      </c>
      <c r="Q28" t="str">
        <f t="shared" si="1"/>
        <v>weekdays</v>
      </c>
      <c r="R28" t="str" cm="1">
        <f t="array" ref="R28">_xlfn.IFS(
N28=MAX(K28,L28,M28,N28),"Sedentary",M28
=MAX(K28,L28,M28,N28),"Lightly Active",
L28=MAX(K28,L28,M28,N28),"Fairly Active",
K28=MAX(K28,L28,M28,N28),"Very Active"
)</f>
        <v>Sedentary</v>
      </c>
      <c r="S28" t="str">
        <f t="shared" si="2"/>
        <v>Sedentary</v>
      </c>
    </row>
    <row r="29" spans="1:19" x14ac:dyDescent="0.3">
      <c r="A29">
        <v>1624580081</v>
      </c>
      <c r="B29" s="1">
        <v>42462</v>
      </c>
      <c r="C29">
        <v>1556</v>
      </c>
      <c r="D29">
        <v>1.0099999904632599</v>
      </c>
      <c r="E29">
        <v>1.0099999904632599</v>
      </c>
      <c r="F29">
        <v>0</v>
      </c>
      <c r="G29">
        <v>0</v>
      </c>
      <c r="H29">
        <v>0</v>
      </c>
      <c r="I29">
        <v>1.0099999904632599</v>
      </c>
      <c r="J29">
        <v>9.9999997764825804E-3</v>
      </c>
      <c r="K29">
        <v>0</v>
      </c>
      <c r="L29">
        <v>0</v>
      </c>
      <c r="M29">
        <v>88</v>
      </c>
      <c r="N29">
        <v>1352</v>
      </c>
      <c r="O29">
        <v>1327</v>
      </c>
      <c r="P29" t="str">
        <f t="shared" si="0"/>
        <v>Valid</v>
      </c>
      <c r="Q29" t="str">
        <f t="shared" si="1"/>
        <v>weekends</v>
      </c>
      <c r="R29" t="str" cm="1">
        <f t="array" ref="R29">_xlfn.IFS(
N29=MAX(K29,L29,M29,N29),"Sedentary",M29
=MAX(K29,L29,M29,N29),"Lightly Active",
L29=MAX(K29,L29,M29,N29),"Fairly Active",
K29=MAX(K29,L29,M29,N29),"Very Active"
)</f>
        <v>Sedentary</v>
      </c>
      <c r="S29" t="str">
        <f t="shared" si="2"/>
        <v>Sedentary</v>
      </c>
    </row>
    <row r="30" spans="1:19" x14ac:dyDescent="0.3">
      <c r="A30">
        <v>1624580081</v>
      </c>
      <c r="B30" s="1">
        <v>42463</v>
      </c>
      <c r="C30">
        <v>2910</v>
      </c>
      <c r="D30">
        <v>1.8899999856948899</v>
      </c>
      <c r="E30">
        <v>1.8899999856948899</v>
      </c>
      <c r="F30">
        <v>0</v>
      </c>
      <c r="G30">
        <v>0</v>
      </c>
      <c r="H30">
        <v>0</v>
      </c>
      <c r="I30">
        <v>1.87999999523163</v>
      </c>
      <c r="J30">
        <v>9.9999997764825804E-3</v>
      </c>
      <c r="K30">
        <v>0</v>
      </c>
      <c r="L30">
        <v>0</v>
      </c>
      <c r="M30">
        <v>157</v>
      </c>
      <c r="N30">
        <v>1283</v>
      </c>
      <c r="O30">
        <v>1452</v>
      </c>
      <c r="P30" t="str">
        <f t="shared" si="0"/>
        <v>Valid</v>
      </c>
      <c r="Q30" t="str">
        <f t="shared" si="1"/>
        <v>weekends</v>
      </c>
      <c r="R30" t="str" cm="1">
        <f t="array" ref="R30">_xlfn.IFS(
N30=MAX(K30,L30,M30,N30),"Sedentary",M30
=MAX(K30,L30,M30,N30),"Lightly Active",
L30=MAX(K30,L30,M30,N30),"Fairly Active",
K30=MAX(K30,L30,M30,N30),"Very Active"
)</f>
        <v>Sedentary</v>
      </c>
      <c r="S30" t="str">
        <f t="shared" si="2"/>
        <v>Sedentary</v>
      </c>
    </row>
    <row r="31" spans="1:19" x14ac:dyDescent="0.3">
      <c r="A31">
        <v>1624580081</v>
      </c>
      <c r="B31" s="1">
        <v>42464</v>
      </c>
      <c r="C31">
        <v>18464</v>
      </c>
      <c r="D31">
        <v>12</v>
      </c>
      <c r="E31">
        <v>12</v>
      </c>
      <c r="F31">
        <v>0</v>
      </c>
      <c r="G31">
        <v>0</v>
      </c>
      <c r="H31">
        <v>0</v>
      </c>
      <c r="I31">
        <v>12</v>
      </c>
      <c r="J31">
        <v>0</v>
      </c>
      <c r="K31">
        <v>0</v>
      </c>
      <c r="L31">
        <v>0</v>
      </c>
      <c r="M31">
        <v>270</v>
      </c>
      <c r="N31">
        <v>1170</v>
      </c>
      <c r="O31">
        <v>1574</v>
      </c>
      <c r="P31" t="str">
        <f t="shared" si="0"/>
        <v>Valid</v>
      </c>
      <c r="Q31" t="str">
        <f t="shared" si="1"/>
        <v>weekdays</v>
      </c>
      <c r="R31" t="str" cm="1">
        <f t="array" ref="R31">_xlfn.IFS(
N31=MAX(K31,L31,M31,N31),"Sedentary",M31
=MAX(K31,L31,M31,N31),"Lightly Active",
L31=MAX(K31,L31,M31,N31),"Fairly Active",
K31=MAX(K31,L31,M31,N31),"Very Active"
)</f>
        <v>Sedentary</v>
      </c>
      <c r="S31" t="str">
        <f t="shared" si="2"/>
        <v>Sedentary</v>
      </c>
    </row>
    <row r="32" spans="1:19" x14ac:dyDescent="0.3">
      <c r="A32">
        <v>1624580081</v>
      </c>
      <c r="B32" s="1">
        <v>42465</v>
      </c>
      <c r="C32">
        <v>1335</v>
      </c>
      <c r="D32">
        <v>0.87000000476837203</v>
      </c>
      <c r="E32">
        <v>0.87000000476837203</v>
      </c>
      <c r="F32">
        <v>0</v>
      </c>
      <c r="G32">
        <v>0</v>
      </c>
      <c r="H32">
        <v>0</v>
      </c>
      <c r="I32">
        <v>0.87000000476837203</v>
      </c>
      <c r="J32">
        <v>0</v>
      </c>
      <c r="K32">
        <v>0</v>
      </c>
      <c r="L32">
        <v>0</v>
      </c>
      <c r="M32">
        <v>74</v>
      </c>
      <c r="N32">
        <v>1366</v>
      </c>
      <c r="O32">
        <v>1308</v>
      </c>
      <c r="P32" t="str">
        <f t="shared" si="0"/>
        <v>Valid</v>
      </c>
      <c r="Q32" t="str">
        <f t="shared" si="1"/>
        <v>weekdays</v>
      </c>
      <c r="R32" t="str" cm="1">
        <f t="array" ref="R32">_xlfn.IFS(
N32=MAX(K32,L32,M32,N32),"Sedentary",M32
=MAX(K32,L32,M32,N32),"Lightly Active",
L32=MAX(K32,L32,M32,N32),"Fairly Active",
K32=MAX(K32,L32,M32,N32),"Very Active"
)</f>
        <v>Sedentary</v>
      </c>
      <c r="S32" t="str">
        <f t="shared" si="2"/>
        <v>Sedentary</v>
      </c>
    </row>
    <row r="33" spans="1:19" x14ac:dyDescent="0.3">
      <c r="A33">
        <v>1624580081</v>
      </c>
      <c r="B33" s="1">
        <v>42466</v>
      </c>
      <c r="C33">
        <v>1004</v>
      </c>
      <c r="D33">
        <v>0.64999997615814198</v>
      </c>
      <c r="E33">
        <v>0.64999997615814198</v>
      </c>
      <c r="F33">
        <v>0</v>
      </c>
      <c r="G33">
        <v>0</v>
      </c>
      <c r="H33">
        <v>0</v>
      </c>
      <c r="I33">
        <v>0.64999997615814198</v>
      </c>
      <c r="J33">
        <v>0</v>
      </c>
      <c r="K33">
        <v>0</v>
      </c>
      <c r="L33">
        <v>0</v>
      </c>
      <c r="M33">
        <v>55</v>
      </c>
      <c r="N33">
        <v>1385</v>
      </c>
      <c r="O33">
        <v>1276</v>
      </c>
      <c r="P33" t="str">
        <f t="shared" si="0"/>
        <v>Valid</v>
      </c>
      <c r="Q33" t="str">
        <f t="shared" si="1"/>
        <v>weekdays</v>
      </c>
      <c r="R33" t="str" cm="1">
        <f t="array" ref="R33">_xlfn.IFS(
N33=MAX(K33,L33,M33,N33),"Sedentary",M33
=MAX(K33,L33,M33,N33),"Lightly Active",
L33=MAX(K33,L33,M33,N33),"Fairly Active",
K33=MAX(K33,L33,M33,N33),"Very Active"
)</f>
        <v>Sedentary</v>
      </c>
      <c r="S33" t="str">
        <f t="shared" si="2"/>
        <v>Sedentary</v>
      </c>
    </row>
    <row r="34" spans="1:19" x14ac:dyDescent="0.3">
      <c r="A34">
        <v>1624580081</v>
      </c>
      <c r="B34" s="1">
        <v>42467</v>
      </c>
      <c r="C34">
        <v>1111</v>
      </c>
      <c r="D34">
        <v>0.72000002861022905</v>
      </c>
      <c r="E34">
        <v>0.72000002861022905</v>
      </c>
      <c r="F34">
        <v>0</v>
      </c>
      <c r="G34">
        <v>0</v>
      </c>
      <c r="H34">
        <v>0</v>
      </c>
      <c r="I34">
        <v>0.72000002861022905</v>
      </c>
      <c r="J34">
        <v>0</v>
      </c>
      <c r="K34">
        <v>0</v>
      </c>
      <c r="L34">
        <v>0</v>
      </c>
      <c r="M34">
        <v>54</v>
      </c>
      <c r="N34">
        <v>1386</v>
      </c>
      <c r="O34">
        <v>1278</v>
      </c>
      <c r="P34" t="str">
        <f t="shared" si="0"/>
        <v>Valid</v>
      </c>
      <c r="Q34" t="str">
        <f t="shared" si="1"/>
        <v>weekdays</v>
      </c>
      <c r="R34" t="str" cm="1">
        <f t="array" ref="R34">_xlfn.IFS(
N34=MAX(K34,L34,M34,N34),"Sedentary",M34
=MAX(K34,L34,M34,N34),"Lightly Active",
L34=MAX(K34,L34,M34,N34),"Fairly Active",
K34=MAX(K34,L34,M34,N34),"Very Active"
)</f>
        <v>Sedentary</v>
      </c>
      <c r="S34" t="str">
        <f t="shared" si="2"/>
        <v>Sedentary</v>
      </c>
    </row>
    <row r="35" spans="1:19" x14ac:dyDescent="0.3">
      <c r="A35">
        <v>1624580081</v>
      </c>
      <c r="B35" s="1">
        <v>42468</v>
      </c>
      <c r="C35">
        <v>6344</v>
      </c>
      <c r="D35">
        <v>4.1199998855590803</v>
      </c>
      <c r="E35">
        <v>4.1199998855590803</v>
      </c>
      <c r="F35">
        <v>0</v>
      </c>
      <c r="G35">
        <v>0</v>
      </c>
      <c r="H35">
        <v>0</v>
      </c>
      <c r="I35">
        <v>4.0999999046325701</v>
      </c>
      <c r="J35">
        <v>0</v>
      </c>
      <c r="K35">
        <v>0</v>
      </c>
      <c r="L35">
        <v>0</v>
      </c>
      <c r="M35">
        <v>143</v>
      </c>
      <c r="N35">
        <v>1297</v>
      </c>
      <c r="O35">
        <v>1409</v>
      </c>
      <c r="P35" t="str">
        <f t="shared" si="0"/>
        <v>Valid</v>
      </c>
      <c r="Q35" t="str">
        <f t="shared" si="1"/>
        <v>weekdays</v>
      </c>
      <c r="R35" t="str" cm="1">
        <f t="array" ref="R35">_xlfn.IFS(
N35=MAX(K35,L35,M35,N35),"Sedentary",M35
=MAX(K35,L35,M35,N35),"Lightly Active",
L35=MAX(K35,L35,M35,N35),"Fairly Active",
K35=MAX(K35,L35,M35,N35),"Very Active"
)</f>
        <v>Sedentary</v>
      </c>
      <c r="S35" t="str">
        <f t="shared" si="2"/>
        <v>Sedentary</v>
      </c>
    </row>
    <row r="36" spans="1:19" x14ac:dyDescent="0.3">
      <c r="A36">
        <v>1624580081</v>
      </c>
      <c r="B36" s="1">
        <v>42469</v>
      </c>
      <c r="C36">
        <v>3572</v>
      </c>
      <c r="D36">
        <v>2.3199999332428001</v>
      </c>
      <c r="E36">
        <v>2.3199999332428001</v>
      </c>
      <c r="F36">
        <v>0</v>
      </c>
      <c r="G36">
        <v>0</v>
      </c>
      <c r="H36">
        <v>0</v>
      </c>
      <c r="I36">
        <v>2.28999996185303</v>
      </c>
      <c r="J36">
        <v>2.9999999329447701E-2</v>
      </c>
      <c r="K36">
        <v>0</v>
      </c>
      <c r="L36">
        <v>0</v>
      </c>
      <c r="M36">
        <v>122</v>
      </c>
      <c r="N36">
        <v>1318</v>
      </c>
      <c r="O36">
        <v>1370</v>
      </c>
      <c r="P36" t="str">
        <f t="shared" si="0"/>
        <v>Valid</v>
      </c>
      <c r="Q36" t="str">
        <f t="shared" si="1"/>
        <v>weekends</v>
      </c>
      <c r="R36" t="str" cm="1">
        <f t="array" ref="R36">_xlfn.IFS(
N36=MAX(K36,L36,M36,N36),"Sedentary",M36
=MAX(K36,L36,M36,N36),"Lightly Active",
L36=MAX(K36,L36,M36,N36),"Fairly Active",
K36=MAX(K36,L36,M36,N36),"Very Active"
)</f>
        <v>Sedentary</v>
      </c>
      <c r="S36" t="str">
        <f t="shared" si="2"/>
        <v>Sedentary</v>
      </c>
    </row>
    <row r="37" spans="1:19" x14ac:dyDescent="0.3">
      <c r="A37">
        <v>1624580081</v>
      </c>
      <c r="B37" s="1">
        <v>42470</v>
      </c>
      <c r="C37">
        <v>3910</v>
      </c>
      <c r="D37">
        <v>2.53999996185303</v>
      </c>
      <c r="E37">
        <v>2.53999996185303</v>
      </c>
      <c r="F37">
        <v>0</v>
      </c>
      <c r="G37">
        <v>0.46999999880790699</v>
      </c>
      <c r="H37">
        <v>0.25</v>
      </c>
      <c r="I37">
        <v>1.8099999427795399</v>
      </c>
      <c r="J37">
        <v>9.9999997764825804E-3</v>
      </c>
      <c r="K37">
        <v>7</v>
      </c>
      <c r="L37">
        <v>7</v>
      </c>
      <c r="M37">
        <v>186</v>
      </c>
      <c r="N37">
        <v>1240</v>
      </c>
      <c r="O37">
        <v>1555</v>
      </c>
      <c r="P37" t="str">
        <f t="shared" si="0"/>
        <v>Valid</v>
      </c>
      <c r="Q37" t="str">
        <f t="shared" si="1"/>
        <v>weekends</v>
      </c>
      <c r="R37" t="str" cm="1">
        <f t="array" ref="R37">_xlfn.IFS(
N37=MAX(K37,L37,M37,N37),"Sedentary",M37
=MAX(K37,L37,M37,N37),"Lightly Active",
L37=MAX(K37,L37,M37,N37),"Fairly Active",
K37=MAX(K37,L37,M37,N37),"Very Active"
)</f>
        <v>Sedentary</v>
      </c>
      <c r="S37" t="str">
        <f t="shared" si="2"/>
        <v>Sedentary</v>
      </c>
    </row>
    <row r="38" spans="1:19" x14ac:dyDescent="0.3">
      <c r="A38">
        <v>1624580081</v>
      </c>
      <c r="B38" s="1">
        <v>42471</v>
      </c>
      <c r="C38">
        <v>10000</v>
      </c>
      <c r="D38">
        <v>6.5</v>
      </c>
      <c r="E38">
        <v>6.5</v>
      </c>
      <c r="F38">
        <v>0</v>
      </c>
      <c r="G38">
        <v>0</v>
      </c>
      <c r="H38">
        <v>0</v>
      </c>
      <c r="I38">
        <v>6.5</v>
      </c>
      <c r="J38">
        <v>0</v>
      </c>
      <c r="K38">
        <v>0</v>
      </c>
      <c r="L38">
        <v>0</v>
      </c>
      <c r="M38">
        <v>172</v>
      </c>
      <c r="N38">
        <v>1268</v>
      </c>
      <c r="O38">
        <v>1469</v>
      </c>
      <c r="P38" t="str">
        <f t="shared" si="0"/>
        <v>Valid</v>
      </c>
      <c r="Q38" t="str">
        <f t="shared" si="1"/>
        <v>weekdays</v>
      </c>
      <c r="R38" t="str" cm="1">
        <f t="array" ref="R38">_xlfn.IFS(
N38=MAX(K38,L38,M38,N38),"Sedentary",M38
=MAX(K38,L38,M38,N38),"Lightly Active",
L38=MAX(K38,L38,M38,N38),"Fairly Active",
K38=MAX(K38,L38,M38,N38),"Very Active"
)</f>
        <v>Sedentary</v>
      </c>
      <c r="S38" t="str">
        <f t="shared" si="2"/>
        <v>Sedentary</v>
      </c>
    </row>
    <row r="39" spans="1:19" x14ac:dyDescent="0.3">
      <c r="A39">
        <v>1624580081</v>
      </c>
      <c r="B39" s="1">
        <v>42472</v>
      </c>
      <c r="C39">
        <v>6627</v>
      </c>
      <c r="D39">
        <v>4.3099999427795401</v>
      </c>
      <c r="E39">
        <v>4.3099999427795401</v>
      </c>
      <c r="F39">
        <v>0</v>
      </c>
      <c r="G39">
        <v>0</v>
      </c>
      <c r="H39">
        <v>0</v>
      </c>
      <c r="I39">
        <v>4.3099999427795401</v>
      </c>
      <c r="J39">
        <v>0</v>
      </c>
      <c r="K39">
        <v>0</v>
      </c>
      <c r="L39">
        <v>0</v>
      </c>
      <c r="M39">
        <v>89</v>
      </c>
      <c r="N39">
        <v>604</v>
      </c>
      <c r="O39">
        <v>706</v>
      </c>
      <c r="P39" t="str">
        <f t="shared" si="0"/>
        <v>Valid</v>
      </c>
      <c r="Q39" t="str">
        <f t="shared" si="1"/>
        <v>weekdays</v>
      </c>
      <c r="R39" t="str" cm="1">
        <f t="array" ref="R39">_xlfn.IFS(
N39=MAX(K39,L39,M39,N39),"Sedentary",M39
=MAX(K39,L39,M39,N39),"Lightly Active",
L39=MAX(K39,L39,M39,N39),"Fairly Active",
K39=MAX(K39,L39,M39,N39),"Very Active"
)</f>
        <v>Sedentary</v>
      </c>
      <c r="S39" t="str">
        <f t="shared" si="2"/>
        <v>Sedentary</v>
      </c>
    </row>
    <row r="40" spans="1:19" x14ac:dyDescent="0.3">
      <c r="A40">
        <v>1644430081</v>
      </c>
      <c r="B40" s="1">
        <v>42461</v>
      </c>
      <c r="C40">
        <v>4636</v>
      </c>
      <c r="D40">
        <v>3.4100000858306898</v>
      </c>
      <c r="E40">
        <v>3.4100000858306898</v>
      </c>
      <c r="F40">
        <v>0</v>
      </c>
      <c r="G40">
        <v>0</v>
      </c>
      <c r="H40">
        <v>0.77999997138977095</v>
      </c>
      <c r="I40">
        <v>2.5999999046325701</v>
      </c>
      <c r="J40">
        <v>2.9999999329447701E-2</v>
      </c>
      <c r="K40">
        <v>0</v>
      </c>
      <c r="L40">
        <v>16</v>
      </c>
      <c r="M40">
        <v>586</v>
      </c>
      <c r="N40">
        <v>838</v>
      </c>
      <c r="O40">
        <v>3323</v>
      </c>
      <c r="P40" t="str">
        <f t="shared" si="0"/>
        <v>Valid</v>
      </c>
      <c r="Q40" t="str">
        <f t="shared" si="1"/>
        <v>weekdays</v>
      </c>
      <c r="R40" t="str" cm="1">
        <f t="array" ref="R40">_xlfn.IFS(
N40=MAX(K40,L40,M40,N40),"Sedentary",M40
=MAX(K40,L40,M40,N40),"Lightly Active",
L40=MAX(K40,L40,M40,N40),"Fairly Active",
K40=MAX(K40,L40,M40,N40),"Very Active"
)</f>
        <v>Sedentary</v>
      </c>
      <c r="S40" t="str">
        <f t="shared" si="2"/>
        <v>Sedentary</v>
      </c>
    </row>
    <row r="41" spans="1:19" x14ac:dyDescent="0.3">
      <c r="A41">
        <v>1644430081</v>
      </c>
      <c r="B41" s="1">
        <v>42462</v>
      </c>
      <c r="C41">
        <v>20237</v>
      </c>
      <c r="D41">
        <v>14.710000038146999</v>
      </c>
      <c r="E41">
        <v>14.710000038146999</v>
      </c>
      <c r="F41">
        <v>0</v>
      </c>
      <c r="G41">
        <v>2.5699999332428001</v>
      </c>
      <c r="H41">
        <v>6.4000000953674299</v>
      </c>
      <c r="I41">
        <v>5.7300000190734899</v>
      </c>
      <c r="J41">
        <v>9.9999997764825804E-3</v>
      </c>
      <c r="K41">
        <v>34</v>
      </c>
      <c r="L41">
        <v>141</v>
      </c>
      <c r="M41">
        <v>347</v>
      </c>
      <c r="N41">
        <v>918</v>
      </c>
      <c r="O41">
        <v>4029</v>
      </c>
      <c r="P41" t="str">
        <f t="shared" si="0"/>
        <v>Valid</v>
      </c>
      <c r="Q41" t="str">
        <f t="shared" si="1"/>
        <v>weekends</v>
      </c>
      <c r="R41" t="str" cm="1">
        <f t="array" ref="R41">_xlfn.IFS(
N41=MAX(K41,L41,M41,N41),"Sedentary",M41
=MAX(K41,L41,M41,N41),"Lightly Active",
L41=MAX(K41,L41,M41,N41),"Fairly Active",
K41=MAX(K41,L41,M41,N41),"Very Active"
)</f>
        <v>Sedentary</v>
      </c>
      <c r="S41" t="str">
        <f t="shared" si="2"/>
        <v>Sedentary</v>
      </c>
    </row>
    <row r="42" spans="1:19" x14ac:dyDescent="0.3">
      <c r="A42">
        <v>1644430081</v>
      </c>
      <c r="B42" s="1">
        <v>42463</v>
      </c>
      <c r="C42">
        <v>12912</v>
      </c>
      <c r="D42">
        <v>9.4099998474121094</v>
      </c>
      <c r="E42">
        <v>9.4099998474121094</v>
      </c>
      <c r="F42">
        <v>0</v>
      </c>
      <c r="G42">
        <v>4.8299999237060502</v>
      </c>
      <c r="H42">
        <v>0.769999980926514</v>
      </c>
      <c r="I42">
        <v>3.78999996185303</v>
      </c>
      <c r="J42">
        <v>2.9999999329447701E-2</v>
      </c>
      <c r="K42">
        <v>59</v>
      </c>
      <c r="L42">
        <v>16</v>
      </c>
      <c r="M42">
        <v>283</v>
      </c>
      <c r="N42">
        <v>1082</v>
      </c>
      <c r="O42">
        <v>3436</v>
      </c>
      <c r="P42" t="str">
        <f t="shared" si="0"/>
        <v>Valid</v>
      </c>
      <c r="Q42" t="str">
        <f t="shared" si="1"/>
        <v>weekends</v>
      </c>
      <c r="R42" t="str" cm="1">
        <f t="array" ref="R42">_xlfn.IFS(
N42=MAX(K42,L42,M42,N42),"Sedentary",M42
=MAX(K42,L42,M42,N42),"Lightly Active",
L42=MAX(K42,L42,M42,N42),"Fairly Active",
K42=MAX(K42,L42,M42,N42),"Very Active"
)</f>
        <v>Sedentary</v>
      </c>
      <c r="S42" t="str">
        <f t="shared" si="2"/>
        <v>Sedentary</v>
      </c>
    </row>
    <row r="43" spans="1:19" x14ac:dyDescent="0.3">
      <c r="A43">
        <v>1644430081</v>
      </c>
      <c r="B43" s="1">
        <v>42464</v>
      </c>
      <c r="C43">
        <v>2819</v>
      </c>
      <c r="D43">
        <v>2.0499999523162802</v>
      </c>
      <c r="E43">
        <v>2.0499999523162802</v>
      </c>
      <c r="F43">
        <v>0</v>
      </c>
      <c r="G43">
        <v>0.31000000238418601</v>
      </c>
      <c r="H43">
        <v>0.17000000178813901</v>
      </c>
      <c r="I43">
        <v>1.5599999427795399</v>
      </c>
      <c r="J43">
        <v>9.9999997764825804E-3</v>
      </c>
      <c r="K43">
        <v>4</v>
      </c>
      <c r="L43">
        <v>4</v>
      </c>
      <c r="M43">
        <v>87</v>
      </c>
      <c r="N43">
        <v>1345</v>
      </c>
      <c r="O43">
        <v>2444</v>
      </c>
      <c r="P43" t="str">
        <f t="shared" si="0"/>
        <v>Valid</v>
      </c>
      <c r="Q43" t="str">
        <f t="shared" si="1"/>
        <v>weekdays</v>
      </c>
      <c r="R43" t="str" cm="1">
        <f t="array" ref="R43">_xlfn.IFS(
N43=MAX(K43,L43,M43,N43),"Sedentary",M43
=MAX(K43,L43,M43,N43),"Lightly Active",
L43=MAX(K43,L43,M43,N43),"Fairly Active",
K43=MAX(K43,L43,M43,N43),"Very Active"
)</f>
        <v>Sedentary</v>
      </c>
      <c r="S43" t="str">
        <f t="shared" si="2"/>
        <v>Sedentary</v>
      </c>
    </row>
    <row r="44" spans="1:19" x14ac:dyDescent="0.3">
      <c r="A44">
        <v>1644430081</v>
      </c>
      <c r="B44" s="1">
        <v>42465</v>
      </c>
      <c r="C44">
        <v>9921</v>
      </c>
      <c r="D44">
        <v>7.21000003814697</v>
      </c>
      <c r="E44">
        <v>7.21000003814697</v>
      </c>
      <c r="F44">
        <v>0</v>
      </c>
      <c r="G44">
        <v>0.34000000357627902</v>
      </c>
      <c r="H44">
        <v>1.5199999809265099</v>
      </c>
      <c r="I44">
        <v>5.3600001335143999</v>
      </c>
      <c r="J44">
        <v>0</v>
      </c>
      <c r="K44">
        <v>5</v>
      </c>
      <c r="L44">
        <v>35</v>
      </c>
      <c r="M44">
        <v>219</v>
      </c>
      <c r="N44">
        <v>1181</v>
      </c>
      <c r="O44">
        <v>3098</v>
      </c>
      <c r="P44" t="str">
        <f t="shared" si="0"/>
        <v>Valid</v>
      </c>
      <c r="Q44" t="str">
        <f t="shared" si="1"/>
        <v>weekdays</v>
      </c>
      <c r="R44" t="str" cm="1">
        <f t="array" ref="R44">_xlfn.IFS(
N44=MAX(K44,L44,M44,N44),"Sedentary",M44
=MAX(K44,L44,M44,N44),"Lightly Active",
L44=MAX(K44,L44,M44,N44),"Fairly Active",
K44=MAX(K44,L44,M44,N44),"Very Active"
)</f>
        <v>Sedentary</v>
      </c>
      <c r="S44" t="str">
        <f t="shared" si="2"/>
        <v>Sedentary</v>
      </c>
    </row>
    <row r="45" spans="1:19" x14ac:dyDescent="0.3">
      <c r="A45">
        <v>1644430081</v>
      </c>
      <c r="B45" s="1">
        <v>42466</v>
      </c>
      <c r="C45">
        <v>8046</v>
      </c>
      <c r="D45">
        <v>5.8499999046325701</v>
      </c>
      <c r="E45">
        <v>5.8499999046325701</v>
      </c>
      <c r="F45">
        <v>0</v>
      </c>
      <c r="G45">
        <v>1.28999996185303</v>
      </c>
      <c r="H45">
        <v>2.1199998855590798</v>
      </c>
      <c r="I45">
        <v>2.4500000476837198</v>
      </c>
      <c r="J45">
        <v>0</v>
      </c>
      <c r="K45">
        <v>18</v>
      </c>
      <c r="L45">
        <v>41</v>
      </c>
      <c r="M45">
        <v>137</v>
      </c>
      <c r="N45">
        <v>1244</v>
      </c>
      <c r="O45">
        <v>2925</v>
      </c>
      <c r="P45" t="str">
        <f t="shared" si="0"/>
        <v>Valid</v>
      </c>
      <c r="Q45" t="str">
        <f t="shared" si="1"/>
        <v>weekdays</v>
      </c>
      <c r="R45" t="str" cm="1">
        <f t="array" ref="R45">_xlfn.IFS(
N45=MAX(K45,L45,M45,N45),"Sedentary",M45
=MAX(K45,L45,M45,N45),"Lightly Active",
L45=MAX(K45,L45,M45,N45),"Fairly Active",
K45=MAX(K45,L45,M45,N45),"Very Active"
)</f>
        <v>Sedentary</v>
      </c>
      <c r="S45" t="str">
        <f t="shared" si="2"/>
        <v>Sedentary</v>
      </c>
    </row>
    <row r="46" spans="1:19" x14ac:dyDescent="0.3">
      <c r="A46">
        <v>1644430081</v>
      </c>
      <c r="B46" s="1">
        <v>42467</v>
      </c>
      <c r="C46">
        <v>11166</v>
      </c>
      <c r="D46">
        <v>8.1199998855590803</v>
      </c>
      <c r="E46">
        <v>8.1199998855590803</v>
      </c>
      <c r="F46">
        <v>0</v>
      </c>
      <c r="G46">
        <v>0.20999999344348899</v>
      </c>
      <c r="H46">
        <v>2.4100000858306898</v>
      </c>
      <c r="I46">
        <v>5.5</v>
      </c>
      <c r="J46">
        <v>0</v>
      </c>
      <c r="K46">
        <v>3</v>
      </c>
      <c r="L46">
        <v>58</v>
      </c>
      <c r="M46">
        <v>230</v>
      </c>
      <c r="N46">
        <v>1149</v>
      </c>
      <c r="O46">
        <v>3202</v>
      </c>
      <c r="P46" t="str">
        <f t="shared" si="0"/>
        <v>Valid</v>
      </c>
      <c r="Q46" t="str">
        <f t="shared" si="1"/>
        <v>weekdays</v>
      </c>
      <c r="R46" t="str" cm="1">
        <f t="array" ref="R46">_xlfn.IFS(
N46=MAX(K46,L46,M46,N46),"Sedentary",M46
=MAX(K46,L46,M46,N46),"Lightly Active",
L46=MAX(K46,L46,M46,N46),"Fairly Active",
K46=MAX(K46,L46,M46,N46),"Very Active"
)</f>
        <v>Sedentary</v>
      </c>
      <c r="S46" t="str">
        <f t="shared" si="2"/>
        <v>Sedentary</v>
      </c>
    </row>
    <row r="47" spans="1:19" x14ac:dyDescent="0.3">
      <c r="A47">
        <v>1644430081</v>
      </c>
      <c r="B47" s="1">
        <v>42468</v>
      </c>
      <c r="C47">
        <v>7842</v>
      </c>
      <c r="D47">
        <v>5.6999998092651403</v>
      </c>
      <c r="E47">
        <v>5.6999998092651403</v>
      </c>
      <c r="F47">
        <v>0</v>
      </c>
      <c r="G47">
        <v>0.479999989271164</v>
      </c>
      <c r="H47">
        <v>2.4100000858306898</v>
      </c>
      <c r="I47">
        <v>2.8099999427795401</v>
      </c>
      <c r="J47">
        <v>0</v>
      </c>
      <c r="K47">
        <v>7</v>
      </c>
      <c r="L47">
        <v>43</v>
      </c>
      <c r="M47">
        <v>161</v>
      </c>
      <c r="N47">
        <v>1229</v>
      </c>
      <c r="O47">
        <v>2928</v>
      </c>
      <c r="P47" t="str">
        <f t="shared" si="0"/>
        <v>Valid</v>
      </c>
      <c r="Q47" t="str">
        <f t="shared" si="1"/>
        <v>weekdays</v>
      </c>
      <c r="R47" t="str" cm="1">
        <f t="array" ref="R47">_xlfn.IFS(
N47=MAX(K47,L47,M47,N47),"Sedentary",M47
=MAX(K47,L47,M47,N47),"Lightly Active",
L47=MAX(K47,L47,M47,N47),"Fairly Active",
K47=MAX(K47,L47,M47,N47),"Very Active"
)</f>
        <v>Sedentary</v>
      </c>
      <c r="S47" t="str">
        <f t="shared" si="2"/>
        <v>Sedentary</v>
      </c>
    </row>
    <row r="48" spans="1:19" x14ac:dyDescent="0.3">
      <c r="A48">
        <v>1644430081</v>
      </c>
      <c r="B48" s="1">
        <v>42469</v>
      </c>
      <c r="C48">
        <v>13840</v>
      </c>
      <c r="D48">
        <v>10.060000419616699</v>
      </c>
      <c r="E48">
        <v>10.060000419616699</v>
      </c>
      <c r="F48">
        <v>0</v>
      </c>
      <c r="G48">
        <v>1.3099999427795399</v>
      </c>
      <c r="H48">
        <v>3.7200000286102299</v>
      </c>
      <c r="I48">
        <v>5.0300002098083496</v>
      </c>
      <c r="J48">
        <v>0</v>
      </c>
      <c r="K48">
        <v>18</v>
      </c>
      <c r="L48">
        <v>81</v>
      </c>
      <c r="M48">
        <v>192</v>
      </c>
      <c r="N48">
        <v>1149</v>
      </c>
      <c r="O48">
        <v>3290</v>
      </c>
      <c r="P48" t="str">
        <f t="shared" si="0"/>
        <v>Valid</v>
      </c>
      <c r="Q48" t="str">
        <f t="shared" si="1"/>
        <v>weekends</v>
      </c>
      <c r="R48" t="str" cm="1">
        <f t="array" ref="R48">_xlfn.IFS(
N48=MAX(K48,L48,M48,N48),"Sedentary",M48
=MAX(K48,L48,M48,N48),"Lightly Active",
L48=MAX(K48,L48,M48,N48),"Fairly Active",
K48=MAX(K48,L48,M48,N48),"Very Active"
)</f>
        <v>Sedentary</v>
      </c>
      <c r="S48" t="str">
        <f t="shared" si="2"/>
        <v>Sedentary</v>
      </c>
    </row>
    <row r="49" spans="1:19" x14ac:dyDescent="0.3">
      <c r="A49">
        <v>1644430081</v>
      </c>
      <c r="B49" s="1">
        <v>42470</v>
      </c>
      <c r="C49">
        <v>1329</v>
      </c>
      <c r="D49">
        <v>0.97000002861022905</v>
      </c>
      <c r="E49">
        <v>0.97000002861022905</v>
      </c>
      <c r="F49">
        <v>0</v>
      </c>
      <c r="G49">
        <v>0</v>
      </c>
      <c r="H49">
        <v>0</v>
      </c>
      <c r="I49">
        <v>0.97000002861022905</v>
      </c>
      <c r="J49">
        <v>0</v>
      </c>
      <c r="K49">
        <v>0</v>
      </c>
      <c r="L49">
        <v>0</v>
      </c>
      <c r="M49">
        <v>35</v>
      </c>
      <c r="N49">
        <v>207</v>
      </c>
      <c r="O49">
        <v>489</v>
      </c>
      <c r="P49" t="str">
        <f t="shared" si="0"/>
        <v>Valid</v>
      </c>
      <c r="Q49" t="str">
        <f t="shared" si="1"/>
        <v>weekends</v>
      </c>
      <c r="R49" t="str" cm="1">
        <f t="array" ref="R49">_xlfn.IFS(
N49=MAX(K49,L49,M49,N49),"Sedentary",M49
=MAX(K49,L49,M49,N49),"Lightly Active",
L49=MAX(K49,L49,M49,N49),"Fairly Active",
K49=MAX(K49,L49,M49,N49),"Very Active"
)</f>
        <v>Sedentary</v>
      </c>
      <c r="S49" t="str">
        <f t="shared" si="2"/>
        <v>Sedentary</v>
      </c>
    </row>
    <row r="50" spans="1:19" x14ac:dyDescent="0.3">
      <c r="A50">
        <v>1844505072</v>
      </c>
      <c r="B50" s="1">
        <v>42461</v>
      </c>
      <c r="C50">
        <v>6847</v>
      </c>
      <c r="D50">
        <v>4.5300002098083496</v>
      </c>
      <c r="E50">
        <v>4.5300002098083496</v>
      </c>
      <c r="F50">
        <v>0</v>
      </c>
      <c r="G50">
        <v>0.61000001430511497</v>
      </c>
      <c r="H50">
        <v>0.37000000476837203</v>
      </c>
      <c r="I50">
        <v>3.5499999523162802</v>
      </c>
      <c r="J50">
        <v>0</v>
      </c>
      <c r="K50">
        <v>9</v>
      </c>
      <c r="L50">
        <v>9</v>
      </c>
      <c r="M50">
        <v>251</v>
      </c>
      <c r="N50">
        <v>1171</v>
      </c>
      <c r="O50">
        <v>1969</v>
      </c>
      <c r="P50" t="str">
        <f t="shared" si="0"/>
        <v>Valid</v>
      </c>
      <c r="Q50" t="str">
        <f t="shared" si="1"/>
        <v>weekdays</v>
      </c>
      <c r="R50" t="str" cm="1">
        <f t="array" ref="R50">_xlfn.IFS(
N50=MAX(K50,L50,M50,N50),"Sedentary",M50
=MAX(K50,L50,M50,N50),"Lightly Active",
L50=MAX(K50,L50,M50,N50),"Fairly Active",
K50=MAX(K50,L50,M50,N50),"Very Active"
)</f>
        <v>Sedentary</v>
      </c>
      <c r="S50" t="str">
        <f t="shared" si="2"/>
        <v>Sedentary</v>
      </c>
    </row>
    <row r="51" spans="1:19" x14ac:dyDescent="0.3">
      <c r="A51">
        <v>1844505072</v>
      </c>
      <c r="B51" s="1">
        <v>42462</v>
      </c>
      <c r="C51">
        <v>5367</v>
      </c>
      <c r="D51">
        <v>3.5499999523162802</v>
      </c>
      <c r="E51">
        <v>3.5499999523162802</v>
      </c>
      <c r="F51">
        <v>0</v>
      </c>
      <c r="G51">
        <v>0</v>
      </c>
      <c r="H51">
        <v>0</v>
      </c>
      <c r="I51">
        <v>3.5499999523162802</v>
      </c>
      <c r="J51">
        <v>0</v>
      </c>
      <c r="K51">
        <v>0</v>
      </c>
      <c r="L51">
        <v>0</v>
      </c>
      <c r="M51">
        <v>263</v>
      </c>
      <c r="N51">
        <v>1177</v>
      </c>
      <c r="O51">
        <v>1889</v>
      </c>
      <c r="P51" t="str">
        <f t="shared" si="0"/>
        <v>Valid</v>
      </c>
      <c r="Q51" t="str">
        <f t="shared" si="1"/>
        <v>weekends</v>
      </c>
      <c r="R51" t="str" cm="1">
        <f t="array" ref="R51">_xlfn.IFS(
N51=MAX(K51,L51,M51,N51),"Sedentary",M51
=MAX(K51,L51,M51,N51),"Lightly Active",
L51=MAX(K51,L51,M51,N51),"Fairly Active",
K51=MAX(K51,L51,M51,N51),"Very Active"
)</f>
        <v>Sedentary</v>
      </c>
      <c r="S51" t="str">
        <f t="shared" si="2"/>
        <v>Sedentary</v>
      </c>
    </row>
    <row r="52" spans="1:19" x14ac:dyDescent="0.3">
      <c r="A52">
        <v>1844505072</v>
      </c>
      <c r="B52" s="1">
        <v>42463</v>
      </c>
      <c r="C52">
        <v>2841</v>
      </c>
      <c r="D52">
        <v>1.87999999523163</v>
      </c>
      <c r="E52">
        <v>1.87999999523163</v>
      </c>
      <c r="F52">
        <v>0</v>
      </c>
      <c r="G52">
        <v>0</v>
      </c>
      <c r="H52">
        <v>0</v>
      </c>
      <c r="I52">
        <v>1.87999999523163</v>
      </c>
      <c r="J52">
        <v>0</v>
      </c>
      <c r="K52">
        <v>0</v>
      </c>
      <c r="L52">
        <v>0</v>
      </c>
      <c r="M52">
        <v>136</v>
      </c>
      <c r="N52">
        <v>1114</v>
      </c>
      <c r="O52">
        <v>1636</v>
      </c>
      <c r="P52" t="str">
        <f t="shared" si="0"/>
        <v>Valid</v>
      </c>
      <c r="Q52" t="str">
        <f t="shared" si="1"/>
        <v>weekends</v>
      </c>
      <c r="R52" t="str" cm="1">
        <f t="array" ref="R52">_xlfn.IFS(
N52=MAX(K52,L52,M52,N52),"Sedentary",M52
=MAX(K52,L52,M52,N52),"Lightly Active",
L52=MAX(K52,L52,M52,N52),"Fairly Active",
K52=MAX(K52,L52,M52,N52),"Very Active"
)</f>
        <v>Sedentary</v>
      </c>
      <c r="S52" t="str">
        <f t="shared" si="2"/>
        <v>Sedentary</v>
      </c>
    </row>
    <row r="53" spans="1:19" x14ac:dyDescent="0.3">
      <c r="A53">
        <v>1844505072</v>
      </c>
      <c r="B53" s="1">
        <v>42464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669</v>
      </c>
      <c r="O53">
        <v>1347</v>
      </c>
      <c r="P53" t="str">
        <f>IF(AND(C53=0,D53=0,L53&gt;0),"Invalid","Valid")</f>
        <v>Valid</v>
      </c>
      <c r="Q53" t="str">
        <f t="shared" si="1"/>
        <v>weekdays</v>
      </c>
      <c r="R53" t="str" cm="1">
        <f t="array" ref="R53">_xlfn.IFS(
N53=MAX(K53,L53,M53,N53),"Sedentary",M53
=MAX(K53,L53,M53,N53),"Lightly Active",
L53=MAX(K53,L53,M53,N53),"Fairly Active",
K53=MAX(K53,L53,M53,N53),"Very Active"
)</f>
        <v>Sedentary</v>
      </c>
      <c r="S53" t="str">
        <f t="shared" si="2"/>
        <v>Sedentary</v>
      </c>
    </row>
    <row r="54" spans="1:19" x14ac:dyDescent="0.3">
      <c r="A54">
        <v>1844505072</v>
      </c>
      <c r="B54" s="1">
        <v>42465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1440</v>
      </c>
      <c r="O54">
        <v>1347</v>
      </c>
      <c r="P54" t="str">
        <f>IF(AND(C54=0,D54=0,L54&gt;0),"Invalid","Valid")</f>
        <v>Valid</v>
      </c>
      <c r="Q54" t="str">
        <f t="shared" si="1"/>
        <v>weekdays</v>
      </c>
      <c r="R54" t="str" cm="1">
        <f t="array" ref="R54">_xlfn.IFS(
N54=MAX(K54,L54,M54,N54),"Sedentary",M54
=MAX(K54,L54,M54,N54),"Lightly Active",
L54=MAX(K54,L54,M54,N54),"Fairly Active",
K54=MAX(K54,L54,M54,N54),"Very Active"
)</f>
        <v>Sedentary</v>
      </c>
      <c r="S54" t="str">
        <f t="shared" si="2"/>
        <v>Sedentary</v>
      </c>
    </row>
    <row r="55" spans="1:19" x14ac:dyDescent="0.3">
      <c r="A55">
        <v>1844505072</v>
      </c>
      <c r="B55" s="1">
        <v>42466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1439</v>
      </c>
      <c r="O55">
        <v>1349</v>
      </c>
      <c r="P55" t="str">
        <f t="shared" ref="P55:P60" si="3">IF(AND(C55=0,D55=0,L55&gt;0),"Invalid","Valid")</f>
        <v>Valid</v>
      </c>
      <c r="Q55" t="str">
        <f t="shared" si="1"/>
        <v>weekdays</v>
      </c>
      <c r="R55" t="str" cm="1">
        <f t="array" ref="R55">_xlfn.IFS(
N55=MAX(K55,L55,M55,N55),"Sedentary",M55
=MAX(K55,L55,M55,N55),"Lightly Active",
L55=MAX(K55,L55,M55,N55),"Fairly Active",
K55=MAX(K55,L55,M55,N55),"Very Active"
)</f>
        <v>Sedentary</v>
      </c>
      <c r="S55" t="str">
        <f t="shared" si="2"/>
        <v>Sedentary</v>
      </c>
    </row>
    <row r="56" spans="1:19" x14ac:dyDescent="0.3">
      <c r="A56">
        <v>1844505072</v>
      </c>
      <c r="B56" s="1">
        <v>42467</v>
      </c>
      <c r="C56">
        <v>6344</v>
      </c>
      <c r="D56">
        <v>4.1900000572204599</v>
      </c>
      <c r="E56">
        <v>4.1900000572204599</v>
      </c>
      <c r="F56">
        <v>0</v>
      </c>
      <c r="G56">
        <v>0</v>
      </c>
      <c r="H56">
        <v>0</v>
      </c>
      <c r="I56">
        <v>4.1900000572204599</v>
      </c>
      <c r="J56">
        <v>0</v>
      </c>
      <c r="K56">
        <v>0</v>
      </c>
      <c r="L56">
        <v>0</v>
      </c>
      <c r="M56">
        <v>290</v>
      </c>
      <c r="N56">
        <v>1150</v>
      </c>
      <c r="O56">
        <v>1965</v>
      </c>
      <c r="P56" t="str">
        <f t="shared" si="3"/>
        <v>Valid</v>
      </c>
      <c r="Q56" t="str">
        <f t="shared" si="1"/>
        <v>weekdays</v>
      </c>
      <c r="R56" t="str" cm="1">
        <f t="array" ref="R56">_xlfn.IFS(
N56=MAX(K56,L56,M56,N56),"Sedentary",M56
=MAX(K56,L56,M56,N56),"Lightly Active",
L56=MAX(K56,L56,M56,N56),"Fairly Active",
K56=MAX(K56,L56,M56,N56),"Very Active"
)</f>
        <v>Sedentary</v>
      </c>
      <c r="S56" t="str">
        <f t="shared" si="2"/>
        <v>Sedentary</v>
      </c>
    </row>
    <row r="57" spans="1:19" x14ac:dyDescent="0.3">
      <c r="A57">
        <v>1844505072</v>
      </c>
      <c r="B57" s="1">
        <v>42468</v>
      </c>
      <c r="C57">
        <v>5316</v>
      </c>
      <c r="D57">
        <v>3.5099999904632599</v>
      </c>
      <c r="E57">
        <v>3.5099999904632599</v>
      </c>
      <c r="F57">
        <v>0</v>
      </c>
      <c r="G57">
        <v>0</v>
      </c>
      <c r="H57">
        <v>0</v>
      </c>
      <c r="I57">
        <v>3.5099999904632599</v>
      </c>
      <c r="J57">
        <v>0</v>
      </c>
      <c r="K57">
        <v>0</v>
      </c>
      <c r="L57">
        <v>0</v>
      </c>
      <c r="M57">
        <v>221</v>
      </c>
      <c r="N57">
        <v>1219</v>
      </c>
      <c r="O57">
        <v>1824</v>
      </c>
      <c r="P57" t="str">
        <f t="shared" si="3"/>
        <v>Valid</v>
      </c>
      <c r="Q57" t="str">
        <f t="shared" si="1"/>
        <v>weekdays</v>
      </c>
      <c r="R57" t="str" cm="1">
        <f t="array" ref="R57">_xlfn.IFS(
N57=MAX(K57,L57,M57,N57),"Sedentary",M57
=MAX(K57,L57,M57,N57),"Lightly Active",
L57=MAX(K57,L57,M57,N57),"Fairly Active",
K57=MAX(K57,L57,M57,N57),"Very Active"
)</f>
        <v>Sedentary</v>
      </c>
      <c r="S57" t="str">
        <f t="shared" si="2"/>
        <v>Sedentary</v>
      </c>
    </row>
    <row r="58" spans="1:19" x14ac:dyDescent="0.3">
      <c r="A58">
        <v>1844505072</v>
      </c>
      <c r="B58" s="1">
        <v>42469</v>
      </c>
      <c r="C58">
        <v>4979</v>
      </c>
      <c r="D58">
        <v>3.28999996185303</v>
      </c>
      <c r="E58">
        <v>3.28999996185303</v>
      </c>
      <c r="F58">
        <v>0</v>
      </c>
      <c r="G58">
        <v>0</v>
      </c>
      <c r="H58">
        <v>0</v>
      </c>
      <c r="I58">
        <v>3.28999996185303</v>
      </c>
      <c r="J58">
        <v>0</v>
      </c>
      <c r="K58">
        <v>0</v>
      </c>
      <c r="L58">
        <v>0</v>
      </c>
      <c r="M58">
        <v>184</v>
      </c>
      <c r="N58">
        <v>620</v>
      </c>
      <c r="O58">
        <v>1807</v>
      </c>
      <c r="P58" t="str">
        <f t="shared" si="3"/>
        <v>Valid</v>
      </c>
      <c r="Q58" t="str">
        <f t="shared" si="1"/>
        <v>weekends</v>
      </c>
      <c r="R58" t="str" cm="1">
        <f t="array" ref="R58">_xlfn.IFS(
N58=MAX(K58,L58,M58,N58),"Sedentary",M58
=MAX(K58,L58,M58,N58),"Lightly Active",
L58=MAX(K58,L58,M58,N58),"Fairly Active",
K58=MAX(K58,L58,M58,N58),"Very Active"
)</f>
        <v>Sedentary</v>
      </c>
      <c r="S58" t="str">
        <f t="shared" si="2"/>
        <v>Sedentary</v>
      </c>
    </row>
    <row r="59" spans="1:19" x14ac:dyDescent="0.3">
      <c r="A59">
        <v>1844505072</v>
      </c>
      <c r="B59" s="1">
        <v>42470</v>
      </c>
      <c r="C59">
        <v>6556</v>
      </c>
      <c r="D59">
        <v>4.3400001525878897</v>
      </c>
      <c r="E59">
        <v>4.3400001525878897</v>
      </c>
      <c r="F59">
        <v>0</v>
      </c>
      <c r="G59">
        <v>0</v>
      </c>
      <c r="H59">
        <v>0</v>
      </c>
      <c r="I59">
        <v>4.3299999237060502</v>
      </c>
      <c r="J59">
        <v>0</v>
      </c>
      <c r="K59">
        <v>0</v>
      </c>
      <c r="L59">
        <v>0</v>
      </c>
      <c r="M59">
        <v>305</v>
      </c>
      <c r="N59">
        <v>810</v>
      </c>
      <c r="O59">
        <v>1971</v>
      </c>
      <c r="P59" t="str">
        <f t="shared" si="3"/>
        <v>Valid</v>
      </c>
      <c r="Q59" t="str">
        <f t="shared" si="1"/>
        <v>weekends</v>
      </c>
      <c r="R59" t="str" cm="1">
        <f t="array" ref="R59">_xlfn.IFS(
N59=MAX(K59,L59,M59,N59),"Sedentary",M59
=MAX(K59,L59,M59,N59),"Lightly Active",
L59=MAX(K59,L59,M59,N59),"Fairly Active",
K59=MAX(K59,L59,M59,N59),"Very Active"
)</f>
        <v>Sedentary</v>
      </c>
      <c r="S59" t="str">
        <f t="shared" si="2"/>
        <v>Sedentary</v>
      </c>
    </row>
    <row r="60" spans="1:19" x14ac:dyDescent="0.3">
      <c r="A60">
        <v>1844505072</v>
      </c>
      <c r="B60" s="1">
        <v>42471</v>
      </c>
      <c r="C60">
        <v>5430</v>
      </c>
      <c r="D60">
        <v>3.5899999141693102</v>
      </c>
      <c r="E60">
        <v>3.5899999141693102</v>
      </c>
      <c r="F60">
        <v>0</v>
      </c>
      <c r="G60">
        <v>0</v>
      </c>
      <c r="H60">
        <v>0</v>
      </c>
      <c r="I60">
        <v>3.5899999141693102</v>
      </c>
      <c r="J60">
        <v>0</v>
      </c>
      <c r="K60">
        <v>0</v>
      </c>
      <c r="L60">
        <v>0</v>
      </c>
      <c r="M60">
        <v>251</v>
      </c>
      <c r="N60">
        <v>1189</v>
      </c>
      <c r="O60">
        <v>1888</v>
      </c>
      <c r="P60" t="str">
        <f t="shared" si="3"/>
        <v>Valid</v>
      </c>
      <c r="Q60" t="str">
        <f t="shared" si="1"/>
        <v>weekdays</v>
      </c>
      <c r="R60" t="str" cm="1">
        <f t="array" ref="R60">_xlfn.IFS(
N60=MAX(K60,L60,M60,N60),"Sedentary",M60
=MAX(K60,L60,M60,N60),"Lightly Active",
L60=MAX(K60,L60,M60,N60),"Fairly Active",
K60=MAX(K60,L60,M60,N60),"Very Active"
)</f>
        <v>Sedentary</v>
      </c>
      <c r="S60" t="str">
        <f t="shared" si="2"/>
        <v>Sedentary</v>
      </c>
    </row>
    <row r="61" spans="1:19" x14ac:dyDescent="0.3">
      <c r="A61">
        <v>1844505072</v>
      </c>
      <c r="B61" s="1">
        <v>42472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426</v>
      </c>
      <c r="O61">
        <v>399</v>
      </c>
      <c r="P61" t="str">
        <f>IF(AND(C61=0,D61=0,L61&gt;0),"Invalid","Valid")</f>
        <v>Valid</v>
      </c>
      <c r="Q61" t="str">
        <f t="shared" si="1"/>
        <v>weekdays</v>
      </c>
      <c r="R61" t="str" cm="1">
        <f t="array" ref="R61">_xlfn.IFS(
N61=MAX(K61,L61,M61,N61),"Sedentary",M61
=MAX(K61,L61,M61,N61),"Lightly Active",
L61=MAX(K61,L61,M61,N61),"Fairly Active",
K61=MAX(K61,L61,M61,N61),"Very Active"
)</f>
        <v>Sedentary</v>
      </c>
      <c r="S61" t="str">
        <f t="shared" si="2"/>
        <v>Sedentary</v>
      </c>
    </row>
    <row r="62" spans="1:19" x14ac:dyDescent="0.3">
      <c r="A62">
        <v>1927972279</v>
      </c>
      <c r="B62" s="1">
        <v>42461</v>
      </c>
      <c r="C62">
        <v>4317</v>
      </c>
      <c r="D62">
        <v>2.9900000095367401</v>
      </c>
      <c r="E62">
        <v>2.9900000095367401</v>
      </c>
      <c r="F62">
        <v>0</v>
      </c>
      <c r="G62">
        <v>0</v>
      </c>
      <c r="H62">
        <v>0.37000000476837203</v>
      </c>
      <c r="I62">
        <v>2.6199998855590798</v>
      </c>
      <c r="J62">
        <v>0</v>
      </c>
      <c r="K62">
        <v>0</v>
      </c>
      <c r="L62">
        <v>11</v>
      </c>
      <c r="M62">
        <v>192</v>
      </c>
      <c r="N62">
        <v>854</v>
      </c>
      <c r="O62">
        <v>2590</v>
      </c>
      <c r="P62" t="str">
        <f t="shared" ref="P62:P97" si="4">IF(AND(C62=0,D62=0,L62&gt;0),"Invalid","Valid")</f>
        <v>Valid</v>
      </c>
      <c r="Q62" t="str">
        <f t="shared" si="1"/>
        <v>weekdays</v>
      </c>
      <c r="R62" t="str" cm="1">
        <f t="array" ref="R62">_xlfn.IFS(
N62=MAX(K62,L62,M62,N62),"Sedentary",M62
=MAX(K62,L62,M62,N62),"Lightly Active",
L62=MAX(K62,L62,M62,N62),"Fairly Active",
K62=MAX(K62,L62,M62,N62),"Very Active"
)</f>
        <v>Sedentary</v>
      </c>
      <c r="S62" t="str">
        <f t="shared" si="2"/>
        <v>Sedentary</v>
      </c>
    </row>
    <row r="63" spans="1:19" x14ac:dyDescent="0.3">
      <c r="A63">
        <v>1927972279</v>
      </c>
      <c r="B63" s="1">
        <v>42462</v>
      </c>
      <c r="C63">
        <v>5662</v>
      </c>
      <c r="D63">
        <v>3.9200000762939502</v>
      </c>
      <c r="E63">
        <v>3.9200000762939502</v>
      </c>
      <c r="F63">
        <v>0</v>
      </c>
      <c r="G63">
        <v>0</v>
      </c>
      <c r="H63">
        <v>0</v>
      </c>
      <c r="I63">
        <v>3.9200000762939502</v>
      </c>
      <c r="J63">
        <v>0</v>
      </c>
      <c r="K63">
        <v>0</v>
      </c>
      <c r="L63">
        <v>0</v>
      </c>
      <c r="M63">
        <v>267</v>
      </c>
      <c r="N63">
        <v>858</v>
      </c>
      <c r="O63">
        <v>2783</v>
      </c>
      <c r="P63" t="str">
        <f t="shared" si="4"/>
        <v>Valid</v>
      </c>
      <c r="Q63" t="str">
        <f t="shared" si="1"/>
        <v>weekends</v>
      </c>
      <c r="R63" t="str" cm="1">
        <f t="array" ref="R63">_xlfn.IFS(
N63=MAX(K63,L63,M63,N63),"Sedentary",M63
=MAX(K63,L63,M63,N63),"Lightly Active",
L63=MAX(K63,L63,M63,N63),"Fairly Active",
K63=MAX(K63,L63,M63,N63),"Very Active"
)</f>
        <v>Sedentary</v>
      </c>
      <c r="S63" t="str">
        <f t="shared" si="2"/>
        <v>Sedentary</v>
      </c>
    </row>
    <row r="64" spans="1:19" x14ac:dyDescent="0.3">
      <c r="A64">
        <v>1927972279</v>
      </c>
      <c r="B64" s="1">
        <v>42463</v>
      </c>
      <c r="C64">
        <v>3198</v>
      </c>
      <c r="D64">
        <v>2.21000003814697</v>
      </c>
      <c r="E64">
        <v>2.21000003814697</v>
      </c>
      <c r="F64">
        <v>0</v>
      </c>
      <c r="G64">
        <v>0</v>
      </c>
      <c r="H64">
        <v>0</v>
      </c>
      <c r="I64">
        <v>2.21000003814697</v>
      </c>
      <c r="J64">
        <v>0</v>
      </c>
      <c r="K64">
        <v>0</v>
      </c>
      <c r="L64">
        <v>0</v>
      </c>
      <c r="M64">
        <v>146</v>
      </c>
      <c r="N64">
        <v>1183</v>
      </c>
      <c r="O64">
        <v>2449</v>
      </c>
      <c r="P64" t="str">
        <f t="shared" si="4"/>
        <v>Valid</v>
      </c>
      <c r="Q64" t="str">
        <f t="shared" si="1"/>
        <v>weekends</v>
      </c>
      <c r="R64" t="str" cm="1">
        <f t="array" ref="R64">_xlfn.IFS(
N64=MAX(K64,L64,M64,N64),"Sedentary",M64
=MAX(K64,L64,M64,N64),"Lightly Active",
L64=MAX(K64,L64,M64,N64),"Fairly Active",
K64=MAX(K64,L64,M64,N64),"Very Active"
)</f>
        <v>Sedentary</v>
      </c>
      <c r="S64" t="str">
        <f t="shared" si="2"/>
        <v>Sedentary</v>
      </c>
    </row>
    <row r="65" spans="1:19" x14ac:dyDescent="0.3">
      <c r="A65">
        <v>1927972279</v>
      </c>
      <c r="B65" s="1">
        <v>42464</v>
      </c>
      <c r="C65">
        <v>2352</v>
      </c>
      <c r="D65">
        <v>1.62999999523163</v>
      </c>
      <c r="E65">
        <v>1.62999999523163</v>
      </c>
      <c r="F65">
        <v>0</v>
      </c>
      <c r="G65">
        <v>0</v>
      </c>
      <c r="H65">
        <v>0</v>
      </c>
      <c r="I65">
        <v>1.62999999523163</v>
      </c>
      <c r="J65">
        <v>0</v>
      </c>
      <c r="K65">
        <v>0</v>
      </c>
      <c r="L65">
        <v>0</v>
      </c>
      <c r="M65">
        <v>128</v>
      </c>
      <c r="N65">
        <v>829</v>
      </c>
      <c r="O65">
        <v>2380</v>
      </c>
      <c r="P65" t="str">
        <f t="shared" si="4"/>
        <v>Valid</v>
      </c>
      <c r="Q65" t="str">
        <f t="shared" si="1"/>
        <v>weekdays</v>
      </c>
      <c r="R65" t="str" cm="1">
        <f t="array" ref="R65">_xlfn.IFS(
N65=MAX(K65,L65,M65,N65),"Sedentary",M65
=MAX(K65,L65,M65,N65),"Lightly Active",
L65=MAX(K65,L65,M65,N65),"Fairly Active",
K65=MAX(K65,L65,M65,N65),"Very Active"
)</f>
        <v>Sedentary</v>
      </c>
      <c r="S65" t="str">
        <f t="shared" si="2"/>
        <v>Sedentary</v>
      </c>
    </row>
    <row r="66" spans="1:19" x14ac:dyDescent="0.3">
      <c r="A66">
        <v>1927972279</v>
      </c>
      <c r="B66" s="1">
        <v>42465</v>
      </c>
      <c r="C66">
        <v>2234</v>
      </c>
      <c r="D66">
        <v>1.54999995231628</v>
      </c>
      <c r="E66">
        <v>1.54999995231628</v>
      </c>
      <c r="F66">
        <v>0</v>
      </c>
      <c r="G66">
        <v>0</v>
      </c>
      <c r="H66">
        <v>0</v>
      </c>
      <c r="I66">
        <v>1.54999995231628</v>
      </c>
      <c r="J66">
        <v>0</v>
      </c>
      <c r="K66">
        <v>0</v>
      </c>
      <c r="L66">
        <v>0</v>
      </c>
      <c r="M66">
        <v>108</v>
      </c>
      <c r="N66">
        <v>912</v>
      </c>
      <c r="O66">
        <v>2344</v>
      </c>
      <c r="P66" t="str">
        <f t="shared" si="4"/>
        <v>Valid</v>
      </c>
      <c r="Q66" t="str">
        <f t="shared" si="1"/>
        <v>weekdays</v>
      </c>
      <c r="R66" t="str" cm="1">
        <f t="array" ref="R66">_xlfn.IFS(
N66=MAX(K66,L66,M66,N66),"Sedentary",M66
=MAX(K66,L66,M66,N66),"Lightly Active",
L66=MAX(K66,L66,M66,N66),"Fairly Active",
K66=MAX(K66,L66,M66,N66),"Very Active"
)</f>
        <v>Sedentary</v>
      </c>
      <c r="S66" t="str">
        <f t="shared" si="2"/>
        <v>Sedentary</v>
      </c>
    </row>
    <row r="67" spans="1:19" x14ac:dyDescent="0.3">
      <c r="A67">
        <v>1927972279</v>
      </c>
      <c r="B67" s="1">
        <v>42466</v>
      </c>
      <c r="C67">
        <v>1259</v>
      </c>
      <c r="D67">
        <v>0.87000000476837203</v>
      </c>
      <c r="E67">
        <v>0.87000000476837203</v>
      </c>
      <c r="F67">
        <v>0</v>
      </c>
      <c r="G67">
        <v>0</v>
      </c>
      <c r="H67">
        <v>0</v>
      </c>
      <c r="I67">
        <v>0.87000000476837203</v>
      </c>
      <c r="J67">
        <v>0</v>
      </c>
      <c r="K67">
        <v>0</v>
      </c>
      <c r="L67">
        <v>0</v>
      </c>
      <c r="M67">
        <v>73</v>
      </c>
      <c r="N67">
        <v>938</v>
      </c>
      <c r="O67">
        <v>2202</v>
      </c>
      <c r="P67" t="str">
        <f t="shared" si="4"/>
        <v>Valid</v>
      </c>
      <c r="Q67" t="str">
        <f t="shared" ref="Q67:Q130" si="5">IF(WEEKDAY(B67,2)&gt;5,"weekends","weekdays")</f>
        <v>weekdays</v>
      </c>
      <c r="R67" t="str" cm="1">
        <f t="array" ref="R67">_xlfn.IFS(
N67=MAX(K67,L67,M67,N67),"Sedentary",M67
=MAX(K67,L67,M67,N67),"Lightly Active",
L67=MAX(K67,L67,M67,N67),"Fairly Active",
K67=MAX(K67,L67,M67,N67),"Very Active"
)</f>
        <v>Sedentary</v>
      </c>
      <c r="S67" t="str">
        <f t="shared" ref="S67:S130" si="6">IF(N68&gt;(K68+L68+M68),"Sedentary","Active")</f>
        <v>Sedentary</v>
      </c>
    </row>
    <row r="68" spans="1:19" x14ac:dyDescent="0.3">
      <c r="A68">
        <v>1927972279</v>
      </c>
      <c r="B68" s="1">
        <v>42467</v>
      </c>
      <c r="C68">
        <v>768</v>
      </c>
      <c r="D68">
        <v>0.52999997138977095</v>
      </c>
      <c r="E68">
        <v>0.52999997138977095</v>
      </c>
      <c r="F68">
        <v>0</v>
      </c>
      <c r="G68">
        <v>0</v>
      </c>
      <c r="H68">
        <v>0</v>
      </c>
      <c r="I68">
        <v>0.52999997138977095</v>
      </c>
      <c r="J68">
        <v>0</v>
      </c>
      <c r="K68">
        <v>0</v>
      </c>
      <c r="L68">
        <v>0</v>
      </c>
      <c r="M68">
        <v>43</v>
      </c>
      <c r="N68">
        <v>1397</v>
      </c>
      <c r="O68">
        <v>2130</v>
      </c>
      <c r="P68" t="str">
        <f t="shared" si="4"/>
        <v>Valid</v>
      </c>
      <c r="Q68" t="str">
        <f t="shared" si="5"/>
        <v>weekdays</v>
      </c>
      <c r="R68" t="str" cm="1">
        <f t="array" ref="R68">_xlfn.IFS(
N68=MAX(K68,L68,M68,N68),"Sedentary",M68
=MAX(K68,L68,M68,N68),"Lightly Active",
L68=MAX(K68,L68,M68,N68),"Fairly Active",
K68=MAX(K68,L68,M68,N68),"Very Active"
)</f>
        <v>Sedentary</v>
      </c>
      <c r="S68" t="str">
        <f t="shared" si="6"/>
        <v>Sedentary</v>
      </c>
    </row>
    <row r="69" spans="1:19" x14ac:dyDescent="0.3">
      <c r="A69">
        <v>1927972279</v>
      </c>
      <c r="B69" s="1">
        <v>42468</v>
      </c>
      <c r="C69">
        <v>519</v>
      </c>
      <c r="D69">
        <v>0.36000001430511502</v>
      </c>
      <c r="E69">
        <v>0.36000001430511502</v>
      </c>
      <c r="F69">
        <v>0</v>
      </c>
      <c r="G69">
        <v>0</v>
      </c>
      <c r="H69">
        <v>0</v>
      </c>
      <c r="I69">
        <v>0.36000001430511502</v>
      </c>
      <c r="J69">
        <v>0</v>
      </c>
      <c r="K69">
        <v>0</v>
      </c>
      <c r="L69">
        <v>0</v>
      </c>
      <c r="M69">
        <v>34</v>
      </c>
      <c r="N69">
        <v>1406</v>
      </c>
      <c r="O69">
        <v>2088</v>
      </c>
      <c r="P69" t="str">
        <f t="shared" si="4"/>
        <v>Valid</v>
      </c>
      <c r="Q69" t="str">
        <f t="shared" si="5"/>
        <v>weekdays</v>
      </c>
      <c r="R69" t="str" cm="1">
        <f t="array" ref="R69">_xlfn.IFS(
N69=MAX(K69,L69,M69,N69),"Sedentary",M69
=MAX(K69,L69,M69,N69),"Lightly Active",
L69=MAX(K69,L69,M69,N69),"Fairly Active",
K69=MAX(K69,L69,M69,N69),"Very Active"
)</f>
        <v>Sedentary</v>
      </c>
      <c r="S69" t="str">
        <f t="shared" si="6"/>
        <v>Sedentary</v>
      </c>
    </row>
    <row r="70" spans="1:19" x14ac:dyDescent="0.3">
      <c r="A70">
        <v>1927972279</v>
      </c>
      <c r="B70" s="1">
        <v>42469</v>
      </c>
      <c r="C70">
        <v>2523</v>
      </c>
      <c r="D70">
        <v>1.75</v>
      </c>
      <c r="E70">
        <v>1.75</v>
      </c>
      <c r="F70">
        <v>0</v>
      </c>
      <c r="G70">
        <v>0</v>
      </c>
      <c r="H70">
        <v>0.37000000476837203</v>
      </c>
      <c r="I70">
        <v>1.37999999523163</v>
      </c>
      <c r="J70">
        <v>0</v>
      </c>
      <c r="K70">
        <v>0</v>
      </c>
      <c r="L70">
        <v>9</v>
      </c>
      <c r="M70">
        <v>134</v>
      </c>
      <c r="N70">
        <v>1250</v>
      </c>
      <c r="O70">
        <v>2443</v>
      </c>
      <c r="P70" t="str">
        <f t="shared" si="4"/>
        <v>Valid</v>
      </c>
      <c r="Q70" t="str">
        <f t="shared" si="5"/>
        <v>weekends</v>
      </c>
      <c r="R70" t="str" cm="1">
        <f t="array" ref="R70">_xlfn.IFS(
N70=MAX(K70,L70,M70,N70),"Sedentary",M70
=MAX(K70,L70,M70,N70),"Lightly Active",
L70=MAX(K70,L70,M70,N70),"Fairly Active",
K70=MAX(K70,L70,M70,N70),"Very Active"
)</f>
        <v>Sedentary</v>
      </c>
      <c r="S70" t="str">
        <f t="shared" si="6"/>
        <v>Sedentary</v>
      </c>
    </row>
    <row r="71" spans="1:19" x14ac:dyDescent="0.3">
      <c r="A71">
        <v>1927972279</v>
      </c>
      <c r="B71" s="1">
        <v>42470</v>
      </c>
      <c r="C71">
        <v>2105</v>
      </c>
      <c r="D71">
        <v>1.46000003814697</v>
      </c>
      <c r="E71">
        <v>1.46000003814697</v>
      </c>
      <c r="F71">
        <v>0</v>
      </c>
      <c r="G71">
        <v>0</v>
      </c>
      <c r="H71">
        <v>0</v>
      </c>
      <c r="I71">
        <v>1.46000003814697</v>
      </c>
      <c r="J71">
        <v>0</v>
      </c>
      <c r="K71">
        <v>0</v>
      </c>
      <c r="L71">
        <v>0</v>
      </c>
      <c r="M71">
        <v>139</v>
      </c>
      <c r="N71">
        <v>805</v>
      </c>
      <c r="O71">
        <v>2442</v>
      </c>
      <c r="P71" t="str">
        <f t="shared" si="4"/>
        <v>Valid</v>
      </c>
      <c r="Q71" t="str">
        <f t="shared" si="5"/>
        <v>weekends</v>
      </c>
      <c r="R71" t="str" cm="1">
        <f t="array" ref="R71">_xlfn.IFS(
N71=MAX(K71,L71,M71,N71),"Sedentary",M71
=MAX(K71,L71,M71,N71),"Lightly Active",
L71=MAX(K71,L71,M71,N71),"Fairly Active",
K71=MAX(K71,L71,M71,N71),"Very Active"
)</f>
        <v>Sedentary</v>
      </c>
      <c r="S71" t="str">
        <f t="shared" si="6"/>
        <v>Sedentary</v>
      </c>
    </row>
    <row r="72" spans="1:19" x14ac:dyDescent="0.3">
      <c r="A72">
        <v>1927972279</v>
      </c>
      <c r="B72" s="1">
        <v>42471</v>
      </c>
      <c r="C72">
        <v>1209</v>
      </c>
      <c r="D72">
        <v>0.83999997377395597</v>
      </c>
      <c r="E72">
        <v>0.83999997377395597</v>
      </c>
      <c r="F72">
        <v>0</v>
      </c>
      <c r="G72">
        <v>0</v>
      </c>
      <c r="H72">
        <v>0</v>
      </c>
      <c r="I72">
        <v>0.83999997377395597</v>
      </c>
      <c r="J72">
        <v>0</v>
      </c>
      <c r="K72">
        <v>0</v>
      </c>
      <c r="L72">
        <v>0</v>
      </c>
      <c r="M72">
        <v>73</v>
      </c>
      <c r="N72">
        <v>842</v>
      </c>
      <c r="O72">
        <v>2255</v>
      </c>
      <c r="P72" t="str">
        <f t="shared" si="4"/>
        <v>Valid</v>
      </c>
      <c r="Q72" t="str">
        <f t="shared" si="5"/>
        <v>weekdays</v>
      </c>
      <c r="R72" t="str" cm="1">
        <f t="array" ref="R72">_xlfn.IFS(
N72=MAX(K72,L72,M72,N72),"Sedentary",M72
=MAX(K72,L72,M72,N72),"Lightly Active",
L72=MAX(K72,L72,M72,N72),"Fairly Active",
K72=MAX(K72,L72,M72,N72),"Very Active"
)</f>
        <v>Sedentary</v>
      </c>
      <c r="S72" t="str">
        <f t="shared" si="6"/>
        <v>Sedentary</v>
      </c>
    </row>
    <row r="73" spans="1:19" x14ac:dyDescent="0.3">
      <c r="A73">
        <v>1927972279</v>
      </c>
      <c r="B73" s="1">
        <v>42472</v>
      </c>
      <c r="C73">
        <v>24</v>
      </c>
      <c r="D73">
        <v>1.9999999552965199E-2</v>
      </c>
      <c r="E73">
        <v>1.9999999552965199E-2</v>
      </c>
      <c r="F73">
        <v>0</v>
      </c>
      <c r="G73">
        <v>0</v>
      </c>
      <c r="H73">
        <v>0</v>
      </c>
      <c r="I73">
        <v>1.9999999552965199E-2</v>
      </c>
      <c r="J73">
        <v>0</v>
      </c>
      <c r="K73">
        <v>0</v>
      </c>
      <c r="L73">
        <v>0</v>
      </c>
      <c r="M73">
        <v>3</v>
      </c>
      <c r="N73">
        <v>161</v>
      </c>
      <c r="O73">
        <v>942</v>
      </c>
      <c r="P73" t="str">
        <f t="shared" si="4"/>
        <v>Valid</v>
      </c>
      <c r="Q73" t="str">
        <f t="shared" si="5"/>
        <v>weekdays</v>
      </c>
      <c r="R73" t="str" cm="1">
        <f t="array" ref="R73">_xlfn.IFS(
N73=MAX(K73,L73,M73,N73),"Sedentary",M73
=MAX(K73,L73,M73,N73),"Lightly Active",
L73=MAX(K73,L73,M73,N73),"Fairly Active",
K73=MAX(K73,L73,M73,N73),"Very Active"
)</f>
        <v>Sedentary</v>
      </c>
      <c r="S73" t="str">
        <f t="shared" si="6"/>
        <v>Sedentary</v>
      </c>
    </row>
    <row r="74" spans="1:19" x14ac:dyDescent="0.3">
      <c r="A74">
        <v>2022484408</v>
      </c>
      <c r="B74" s="1">
        <v>42461</v>
      </c>
      <c r="C74">
        <v>13603</v>
      </c>
      <c r="D74">
        <v>9.6000003814697301</v>
      </c>
      <c r="E74">
        <v>9.6000003814697301</v>
      </c>
      <c r="F74">
        <v>0</v>
      </c>
      <c r="G74">
        <v>5.46000003814697</v>
      </c>
      <c r="H74">
        <v>0.62999999523162797</v>
      </c>
      <c r="I74">
        <v>3.5099999904632599</v>
      </c>
      <c r="J74">
        <v>0</v>
      </c>
      <c r="K74">
        <v>72</v>
      </c>
      <c r="L74">
        <v>16</v>
      </c>
      <c r="M74">
        <v>213</v>
      </c>
      <c r="N74">
        <v>1139</v>
      </c>
      <c r="O74">
        <v>2645</v>
      </c>
      <c r="P74" t="str">
        <f t="shared" si="4"/>
        <v>Valid</v>
      </c>
      <c r="Q74" t="str">
        <f t="shared" si="5"/>
        <v>weekdays</v>
      </c>
      <c r="R74" t="str" cm="1">
        <f t="array" ref="R74">_xlfn.IFS(
N74=MAX(K74,L74,M74,N74),"Sedentary",M74
=MAX(K74,L74,M74,N74),"Lightly Active",
L74=MAX(K74,L74,M74,N74),"Fairly Active",
K74=MAX(K74,L74,M74,N74),"Very Active"
)</f>
        <v>Sedentary</v>
      </c>
      <c r="S74" t="str">
        <f t="shared" si="6"/>
        <v>Sedentary</v>
      </c>
    </row>
    <row r="75" spans="1:19" x14ac:dyDescent="0.3">
      <c r="A75">
        <v>2022484408</v>
      </c>
      <c r="B75" s="1">
        <v>42462</v>
      </c>
      <c r="C75">
        <v>5477</v>
      </c>
      <c r="D75">
        <v>3.8399999141693102</v>
      </c>
      <c r="E75">
        <v>3.8399999141693102</v>
      </c>
      <c r="F75">
        <v>0</v>
      </c>
      <c r="G75">
        <v>0</v>
      </c>
      <c r="H75">
        <v>0</v>
      </c>
      <c r="I75">
        <v>3.8399999141693102</v>
      </c>
      <c r="J75">
        <v>0</v>
      </c>
      <c r="K75">
        <v>0</v>
      </c>
      <c r="L75">
        <v>0</v>
      </c>
      <c r="M75">
        <v>237</v>
      </c>
      <c r="N75">
        <v>1203</v>
      </c>
      <c r="O75">
        <v>2040</v>
      </c>
      <c r="P75" t="str">
        <f t="shared" si="4"/>
        <v>Valid</v>
      </c>
      <c r="Q75" t="str">
        <f t="shared" si="5"/>
        <v>weekends</v>
      </c>
      <c r="R75" t="str" cm="1">
        <f t="array" ref="R75">_xlfn.IFS(
N75=MAX(K75,L75,M75,N75),"Sedentary",M75
=MAX(K75,L75,M75,N75),"Lightly Active",
L75=MAX(K75,L75,M75,N75),"Fairly Active",
K75=MAX(K75,L75,M75,N75),"Very Active"
)</f>
        <v>Sedentary</v>
      </c>
      <c r="S75" t="str">
        <f t="shared" si="6"/>
        <v>Sedentary</v>
      </c>
    </row>
    <row r="76" spans="1:19" x14ac:dyDescent="0.3">
      <c r="A76">
        <v>2022484408</v>
      </c>
      <c r="B76" s="1">
        <v>42463</v>
      </c>
      <c r="C76">
        <v>11144</v>
      </c>
      <c r="D76">
        <v>7.8200001716613796</v>
      </c>
      <c r="E76">
        <v>7.8200001716613796</v>
      </c>
      <c r="F76">
        <v>0</v>
      </c>
      <c r="G76">
        <v>1.78999996185303</v>
      </c>
      <c r="H76">
        <v>0.88999998569488503</v>
      </c>
      <c r="I76">
        <v>5.1399998664856001</v>
      </c>
      <c r="J76">
        <v>0</v>
      </c>
      <c r="K76">
        <v>25</v>
      </c>
      <c r="L76">
        <v>22</v>
      </c>
      <c r="M76">
        <v>279</v>
      </c>
      <c r="N76">
        <v>1114</v>
      </c>
      <c r="O76">
        <v>2395</v>
      </c>
      <c r="P76" t="str">
        <f t="shared" si="4"/>
        <v>Valid</v>
      </c>
      <c r="Q76" t="str">
        <f t="shared" si="5"/>
        <v>weekends</v>
      </c>
      <c r="R76" t="str" cm="1">
        <f t="array" ref="R76">_xlfn.IFS(
N76=MAX(K76,L76,M76,N76),"Sedentary",M76
=MAX(K76,L76,M76,N76),"Lightly Active",
L76=MAX(K76,L76,M76,N76),"Fairly Active",
K76=MAX(K76,L76,M76,N76),"Very Active"
)</f>
        <v>Sedentary</v>
      </c>
      <c r="S76" t="str">
        <f t="shared" si="6"/>
        <v>Sedentary</v>
      </c>
    </row>
    <row r="77" spans="1:19" x14ac:dyDescent="0.3">
      <c r="A77">
        <v>2022484408</v>
      </c>
      <c r="B77" s="1">
        <v>42464</v>
      </c>
      <c r="C77">
        <v>15313</v>
      </c>
      <c r="D77">
        <v>11</v>
      </c>
      <c r="E77">
        <v>11</v>
      </c>
      <c r="F77">
        <v>0</v>
      </c>
      <c r="G77">
        <v>5.0199999809265101</v>
      </c>
      <c r="H77">
        <v>1.28999996185303</v>
      </c>
      <c r="I77">
        <v>4.6900000572204599</v>
      </c>
      <c r="J77">
        <v>0</v>
      </c>
      <c r="K77">
        <v>62</v>
      </c>
      <c r="L77">
        <v>19</v>
      </c>
      <c r="M77">
        <v>233</v>
      </c>
      <c r="N77">
        <v>1126</v>
      </c>
      <c r="O77">
        <v>2581</v>
      </c>
      <c r="P77" t="str">
        <f t="shared" si="4"/>
        <v>Valid</v>
      </c>
      <c r="Q77" t="str">
        <f t="shared" si="5"/>
        <v>weekdays</v>
      </c>
      <c r="R77" t="str" cm="1">
        <f t="array" ref="R77">_xlfn.IFS(
N77=MAX(K77,L77,M77,N77),"Sedentary",M77
=MAX(K77,L77,M77,N77),"Lightly Active",
L77=MAX(K77,L77,M77,N77),"Fairly Active",
K77=MAX(K77,L77,M77,N77),"Very Active"
)</f>
        <v>Sedentary</v>
      </c>
      <c r="S77" t="str">
        <f t="shared" si="6"/>
        <v>Sedentary</v>
      </c>
    </row>
    <row r="78" spans="1:19" x14ac:dyDescent="0.3">
      <c r="A78">
        <v>2022484408</v>
      </c>
      <c r="B78" s="1">
        <v>42465</v>
      </c>
      <c r="C78">
        <v>10805</v>
      </c>
      <c r="D78">
        <v>7.5900001525878897</v>
      </c>
      <c r="E78">
        <v>7.5900001525878897</v>
      </c>
      <c r="F78">
        <v>0</v>
      </c>
      <c r="G78">
        <v>0.72000002861022905</v>
      </c>
      <c r="H78">
        <v>0.980000019073486</v>
      </c>
      <c r="I78">
        <v>5.8899998664856001</v>
      </c>
      <c r="J78">
        <v>0</v>
      </c>
      <c r="K78">
        <v>36</v>
      </c>
      <c r="L78">
        <v>37</v>
      </c>
      <c r="M78">
        <v>298</v>
      </c>
      <c r="N78">
        <v>1069</v>
      </c>
      <c r="O78">
        <v>2735</v>
      </c>
      <c r="P78" t="str">
        <f t="shared" si="4"/>
        <v>Valid</v>
      </c>
      <c r="Q78" t="str">
        <f t="shared" si="5"/>
        <v>weekdays</v>
      </c>
      <c r="R78" t="str" cm="1">
        <f t="array" ref="R78">_xlfn.IFS(
N78=MAX(K78,L78,M78,N78),"Sedentary",M78
=MAX(K78,L78,M78,N78),"Lightly Active",
L78=MAX(K78,L78,M78,N78),"Fairly Active",
K78=MAX(K78,L78,M78,N78),"Very Active"
)</f>
        <v>Sedentary</v>
      </c>
      <c r="S78" t="str">
        <f t="shared" si="6"/>
        <v>Sedentary</v>
      </c>
    </row>
    <row r="79" spans="1:19" x14ac:dyDescent="0.3">
      <c r="A79">
        <v>2022484408</v>
      </c>
      <c r="B79" s="1">
        <v>42466</v>
      </c>
      <c r="C79">
        <v>15392</v>
      </c>
      <c r="D79">
        <v>10.930000305175801</v>
      </c>
      <c r="E79">
        <v>10.930000305175801</v>
      </c>
      <c r="F79">
        <v>0</v>
      </c>
      <c r="G79">
        <v>3.4300000667571999</v>
      </c>
      <c r="H79">
        <v>1.75</v>
      </c>
      <c r="I79">
        <v>5.75</v>
      </c>
      <c r="J79">
        <v>0</v>
      </c>
      <c r="K79">
        <v>47</v>
      </c>
      <c r="L79">
        <v>42</v>
      </c>
      <c r="M79">
        <v>258</v>
      </c>
      <c r="N79">
        <v>1093</v>
      </c>
      <c r="O79">
        <v>2733</v>
      </c>
      <c r="P79" t="str">
        <f t="shared" si="4"/>
        <v>Valid</v>
      </c>
      <c r="Q79" t="str">
        <f t="shared" si="5"/>
        <v>weekdays</v>
      </c>
      <c r="R79" t="str" cm="1">
        <f t="array" ref="R79">_xlfn.IFS(
N79=MAX(K79,L79,M79,N79),"Sedentary",M79
=MAX(K79,L79,M79,N79),"Lightly Active",
L79=MAX(K79,L79,M79,N79),"Fairly Active",
K79=MAX(K79,L79,M79,N79),"Very Active"
)</f>
        <v>Sedentary</v>
      </c>
      <c r="S79" t="str">
        <f t="shared" si="6"/>
        <v>Sedentary</v>
      </c>
    </row>
    <row r="80" spans="1:19" x14ac:dyDescent="0.3">
      <c r="A80">
        <v>2022484408</v>
      </c>
      <c r="B80" s="1">
        <v>42467</v>
      </c>
      <c r="C80">
        <v>18247</v>
      </c>
      <c r="D80">
        <v>13.829999923706101</v>
      </c>
      <c r="E80">
        <v>13.829999923706101</v>
      </c>
      <c r="F80">
        <v>0</v>
      </c>
      <c r="G80">
        <v>7.1100001335143999</v>
      </c>
      <c r="H80">
        <v>2.21000003814697</v>
      </c>
      <c r="I80">
        <v>4.5100002288818404</v>
      </c>
      <c r="J80">
        <v>0</v>
      </c>
      <c r="K80">
        <v>72</v>
      </c>
      <c r="L80">
        <v>62</v>
      </c>
      <c r="M80">
        <v>252</v>
      </c>
      <c r="N80">
        <v>1054</v>
      </c>
      <c r="O80">
        <v>3021</v>
      </c>
      <c r="P80" t="str">
        <f t="shared" si="4"/>
        <v>Valid</v>
      </c>
      <c r="Q80" t="str">
        <f t="shared" si="5"/>
        <v>weekdays</v>
      </c>
      <c r="R80" t="str" cm="1">
        <f t="array" ref="R80">_xlfn.IFS(
N80=MAX(K80,L80,M80,N80),"Sedentary",M80
=MAX(K80,L80,M80,N80),"Lightly Active",
L80=MAX(K80,L80,M80,N80),"Fairly Active",
K80=MAX(K80,L80,M80,N80),"Very Active"
)</f>
        <v>Sedentary</v>
      </c>
      <c r="S80" t="str">
        <f t="shared" si="6"/>
        <v>Sedentary</v>
      </c>
    </row>
    <row r="81" spans="1:19" x14ac:dyDescent="0.3">
      <c r="A81">
        <v>2022484408</v>
      </c>
      <c r="B81" s="1">
        <v>42468</v>
      </c>
      <c r="C81">
        <v>13023</v>
      </c>
      <c r="D81">
        <v>9.2600002288818395</v>
      </c>
      <c r="E81">
        <v>9.2600002288818395</v>
      </c>
      <c r="F81">
        <v>0</v>
      </c>
      <c r="G81">
        <v>3.2300000190734899</v>
      </c>
      <c r="H81">
        <v>0.56000000238418601</v>
      </c>
      <c r="I81">
        <v>5.4699997901916504</v>
      </c>
      <c r="J81">
        <v>0</v>
      </c>
      <c r="K81">
        <v>40</v>
      </c>
      <c r="L81">
        <v>12</v>
      </c>
      <c r="M81">
        <v>296</v>
      </c>
      <c r="N81">
        <v>1092</v>
      </c>
      <c r="O81">
        <v>2577</v>
      </c>
      <c r="P81" t="str">
        <f t="shared" si="4"/>
        <v>Valid</v>
      </c>
      <c r="Q81" t="str">
        <f t="shared" si="5"/>
        <v>weekdays</v>
      </c>
      <c r="R81" t="str" cm="1">
        <f t="array" ref="R81">_xlfn.IFS(
N81=MAX(K81,L81,M81,N81),"Sedentary",M81
=MAX(K81,L81,M81,N81),"Lightly Active",
L81=MAX(K81,L81,M81,N81),"Fairly Active",
K81=MAX(K81,L81,M81,N81),"Very Active"
)</f>
        <v>Sedentary</v>
      </c>
      <c r="S81" t="str">
        <f t="shared" si="6"/>
        <v>Sedentary</v>
      </c>
    </row>
    <row r="82" spans="1:19" x14ac:dyDescent="0.3">
      <c r="A82">
        <v>2022484408</v>
      </c>
      <c r="B82" s="1">
        <v>42469</v>
      </c>
      <c r="C82">
        <v>16267</v>
      </c>
      <c r="D82">
        <v>12.5900001525879</v>
      </c>
      <c r="E82">
        <v>12.5900001525879</v>
      </c>
      <c r="F82">
        <v>0</v>
      </c>
      <c r="G82">
        <v>5.75</v>
      </c>
      <c r="H82">
        <v>0.46999999880790699</v>
      </c>
      <c r="I82">
        <v>6.3699998855590803</v>
      </c>
      <c r="J82">
        <v>0</v>
      </c>
      <c r="K82">
        <v>44</v>
      </c>
      <c r="L82">
        <v>16</v>
      </c>
      <c r="M82">
        <v>302</v>
      </c>
      <c r="N82">
        <v>1078</v>
      </c>
      <c r="O82">
        <v>2811</v>
      </c>
      <c r="P82" t="str">
        <f t="shared" si="4"/>
        <v>Valid</v>
      </c>
      <c r="Q82" t="str">
        <f t="shared" si="5"/>
        <v>weekends</v>
      </c>
      <c r="R82" t="str" cm="1">
        <f t="array" ref="R82">_xlfn.IFS(
N82=MAX(K82,L82,M82,N82),"Sedentary",M82
=MAX(K82,L82,M82,N82),"Lightly Active",
L82=MAX(K82,L82,M82,N82),"Fairly Active",
K82=MAX(K82,L82,M82,N82),"Very Active"
)</f>
        <v>Sedentary</v>
      </c>
      <c r="S82" t="str">
        <f t="shared" si="6"/>
        <v>Sedentary</v>
      </c>
    </row>
    <row r="83" spans="1:19" x14ac:dyDescent="0.3">
      <c r="A83">
        <v>2022484408</v>
      </c>
      <c r="B83" s="1">
        <v>42470</v>
      </c>
      <c r="C83">
        <v>10005</v>
      </c>
      <c r="D83">
        <v>7.0199999809265101</v>
      </c>
      <c r="E83">
        <v>7.0199999809265101</v>
      </c>
      <c r="F83">
        <v>0</v>
      </c>
      <c r="G83">
        <v>7.9999998211860698E-2</v>
      </c>
      <c r="H83">
        <v>1.04999995231628</v>
      </c>
      <c r="I83">
        <v>5.9000000953674299</v>
      </c>
      <c r="J83">
        <v>0</v>
      </c>
      <c r="K83">
        <v>1</v>
      </c>
      <c r="L83">
        <v>23</v>
      </c>
      <c r="M83">
        <v>339</v>
      </c>
      <c r="N83">
        <v>1077</v>
      </c>
      <c r="O83">
        <v>2458</v>
      </c>
      <c r="P83" t="str">
        <f t="shared" si="4"/>
        <v>Valid</v>
      </c>
      <c r="Q83" t="str">
        <f t="shared" si="5"/>
        <v>weekends</v>
      </c>
      <c r="R83" t="str" cm="1">
        <f t="array" ref="R83">_xlfn.IFS(
N83=MAX(K83,L83,M83,N83),"Sedentary",M83
=MAX(K83,L83,M83,N83),"Lightly Active",
L83=MAX(K83,L83,M83,N83),"Fairly Active",
K83=MAX(K83,L83,M83,N83),"Very Active"
)</f>
        <v>Sedentary</v>
      </c>
      <c r="S83" t="str">
        <f t="shared" si="6"/>
        <v>Sedentary</v>
      </c>
    </row>
    <row r="84" spans="1:19" x14ac:dyDescent="0.3">
      <c r="A84">
        <v>2022484408</v>
      </c>
      <c r="B84" s="1">
        <v>42471</v>
      </c>
      <c r="C84">
        <v>10106</v>
      </c>
      <c r="D84">
        <v>7.0900001525878897</v>
      </c>
      <c r="E84">
        <v>7.0900001525878897</v>
      </c>
      <c r="F84">
        <v>0</v>
      </c>
      <c r="G84">
        <v>1.21000003814697</v>
      </c>
      <c r="H84">
        <v>0.56000000238418601</v>
      </c>
      <c r="I84">
        <v>5.3299999237060502</v>
      </c>
      <c r="J84">
        <v>0</v>
      </c>
      <c r="K84">
        <v>41</v>
      </c>
      <c r="L84">
        <v>16</v>
      </c>
      <c r="M84">
        <v>272</v>
      </c>
      <c r="N84">
        <v>1111</v>
      </c>
      <c r="O84">
        <v>2568</v>
      </c>
      <c r="P84" t="str">
        <f t="shared" si="4"/>
        <v>Valid</v>
      </c>
      <c r="Q84" t="str">
        <f t="shared" si="5"/>
        <v>weekdays</v>
      </c>
      <c r="R84" t="str" cm="1">
        <f t="array" ref="R84">_xlfn.IFS(
N84=MAX(K84,L84,M84,N84),"Sedentary",M84
=MAX(K84,L84,M84,N84),"Lightly Active",
L84=MAX(K84,L84,M84,N84),"Fairly Active",
K84=MAX(K84,L84,M84,N84),"Very Active"
)</f>
        <v>Sedentary</v>
      </c>
      <c r="S84" t="str">
        <f t="shared" si="6"/>
        <v>Sedentary</v>
      </c>
    </row>
    <row r="85" spans="1:19" x14ac:dyDescent="0.3">
      <c r="A85">
        <v>2022484408</v>
      </c>
      <c r="B85" s="1">
        <v>42472</v>
      </c>
      <c r="C85">
        <v>6717</v>
      </c>
      <c r="D85">
        <v>4.7199997901916504</v>
      </c>
      <c r="E85">
        <v>4.7199997901916504</v>
      </c>
      <c r="F85">
        <v>0</v>
      </c>
      <c r="G85">
        <v>3.2300000190734899</v>
      </c>
      <c r="H85">
        <v>0.21999999880790699</v>
      </c>
      <c r="I85">
        <v>1.2699999809265099</v>
      </c>
      <c r="J85">
        <v>0</v>
      </c>
      <c r="K85">
        <v>41</v>
      </c>
      <c r="L85">
        <v>5</v>
      </c>
      <c r="M85">
        <v>67</v>
      </c>
      <c r="N85">
        <v>551</v>
      </c>
      <c r="O85">
        <v>1140</v>
      </c>
      <c r="P85" t="str">
        <f t="shared" si="4"/>
        <v>Valid</v>
      </c>
      <c r="Q85" t="str">
        <f t="shared" si="5"/>
        <v>weekdays</v>
      </c>
      <c r="R85" t="str" cm="1">
        <f t="array" ref="R85">_xlfn.IFS(
N85=MAX(K85,L85,M85,N85),"Sedentary",M85
=MAX(K85,L85,M85,N85),"Lightly Active",
L85=MAX(K85,L85,M85,N85),"Fairly Active",
K85=MAX(K85,L85,M85,N85),"Very Active"
)</f>
        <v>Sedentary</v>
      </c>
      <c r="S85" t="str">
        <f t="shared" si="6"/>
        <v>Sedentary</v>
      </c>
    </row>
    <row r="86" spans="1:19" x14ac:dyDescent="0.3">
      <c r="A86">
        <v>2026352035</v>
      </c>
      <c r="B86" s="1">
        <v>42461</v>
      </c>
      <c r="C86">
        <v>2605</v>
      </c>
      <c r="D86">
        <v>1.62000000476837</v>
      </c>
      <c r="E86">
        <v>1.62000000476837</v>
      </c>
      <c r="F86">
        <v>0</v>
      </c>
      <c r="G86">
        <v>0</v>
      </c>
      <c r="H86">
        <v>0</v>
      </c>
      <c r="I86">
        <v>1.62000000476837</v>
      </c>
      <c r="J86">
        <v>0</v>
      </c>
      <c r="K86">
        <v>0</v>
      </c>
      <c r="L86">
        <v>0</v>
      </c>
      <c r="M86">
        <v>166</v>
      </c>
      <c r="N86">
        <v>729</v>
      </c>
      <c r="O86">
        <v>1407</v>
      </c>
      <c r="P86" t="str">
        <f t="shared" si="4"/>
        <v>Valid</v>
      </c>
      <c r="Q86" t="str">
        <f t="shared" si="5"/>
        <v>weekdays</v>
      </c>
      <c r="R86" t="str" cm="1">
        <f t="array" ref="R86">_xlfn.IFS(
N86=MAX(K86,L86,M86,N86),"Sedentary",M86
=MAX(K86,L86,M86,N86),"Lightly Active",
L86=MAX(K86,L86,M86,N86),"Fairly Active",
K86=MAX(K86,L86,M86,N86),"Very Active"
)</f>
        <v>Sedentary</v>
      </c>
      <c r="S86" t="str">
        <f t="shared" si="6"/>
        <v>Sedentary</v>
      </c>
    </row>
    <row r="87" spans="1:19" x14ac:dyDescent="0.3">
      <c r="A87">
        <v>2026352035</v>
      </c>
      <c r="B87" s="1">
        <v>42462</v>
      </c>
      <c r="C87">
        <v>1229</v>
      </c>
      <c r="D87">
        <v>0.75999999046325695</v>
      </c>
      <c r="E87">
        <v>0.75999999046325695</v>
      </c>
      <c r="F87">
        <v>0</v>
      </c>
      <c r="G87">
        <v>0</v>
      </c>
      <c r="H87">
        <v>0</v>
      </c>
      <c r="I87">
        <v>0.75999999046325695</v>
      </c>
      <c r="J87">
        <v>0</v>
      </c>
      <c r="K87">
        <v>0</v>
      </c>
      <c r="L87">
        <v>0</v>
      </c>
      <c r="M87">
        <v>69</v>
      </c>
      <c r="N87">
        <v>795</v>
      </c>
      <c r="O87">
        <v>1237</v>
      </c>
      <c r="P87" t="str">
        <f t="shared" si="4"/>
        <v>Valid</v>
      </c>
      <c r="Q87" t="str">
        <f t="shared" si="5"/>
        <v>weekends</v>
      </c>
      <c r="R87" t="str" cm="1">
        <f t="array" ref="R87">_xlfn.IFS(
N87=MAX(K87,L87,M87,N87),"Sedentary",M87
=MAX(K87,L87,M87,N87),"Lightly Active",
L87=MAX(K87,L87,M87,N87),"Fairly Active",
K87=MAX(K87,L87,M87,N87),"Very Active"
)</f>
        <v>Sedentary</v>
      </c>
      <c r="S87" t="str">
        <f t="shared" si="6"/>
        <v>Sedentary</v>
      </c>
    </row>
    <row r="88" spans="1:19" x14ac:dyDescent="0.3">
      <c r="A88">
        <v>2026352035</v>
      </c>
      <c r="B88" s="1">
        <v>42463</v>
      </c>
      <c r="C88">
        <v>2308</v>
      </c>
      <c r="D88">
        <v>1.4299999475479099</v>
      </c>
      <c r="E88">
        <v>1.4299999475479099</v>
      </c>
      <c r="F88">
        <v>0</v>
      </c>
      <c r="G88">
        <v>0</v>
      </c>
      <c r="H88">
        <v>0</v>
      </c>
      <c r="I88">
        <v>1.4299999475479099</v>
      </c>
      <c r="J88">
        <v>0</v>
      </c>
      <c r="K88">
        <v>0</v>
      </c>
      <c r="L88">
        <v>0</v>
      </c>
      <c r="M88">
        <v>115</v>
      </c>
      <c r="N88">
        <v>720</v>
      </c>
      <c r="O88">
        <v>1330</v>
      </c>
      <c r="P88" t="str">
        <f t="shared" si="4"/>
        <v>Valid</v>
      </c>
      <c r="Q88" t="str">
        <f t="shared" si="5"/>
        <v>weekends</v>
      </c>
      <c r="R88" t="str" cm="1">
        <f t="array" ref="R88">_xlfn.IFS(
N88=MAX(K88,L88,M88,N88),"Sedentary",M88
=MAX(K88,L88,M88,N88),"Lightly Active",
L88=MAX(K88,L88,M88,N88),"Fairly Active",
K88=MAX(K88,L88,M88,N88),"Very Active"
)</f>
        <v>Sedentary</v>
      </c>
      <c r="S88" t="str">
        <f t="shared" si="6"/>
        <v>Sedentary</v>
      </c>
    </row>
    <row r="89" spans="1:19" x14ac:dyDescent="0.3">
      <c r="A89">
        <v>2026352035</v>
      </c>
      <c r="B89" s="1">
        <v>42464</v>
      </c>
      <c r="C89">
        <v>6679</v>
      </c>
      <c r="D89">
        <v>4.1399998664856001</v>
      </c>
      <c r="E89">
        <v>4.1399998664856001</v>
      </c>
      <c r="F89">
        <v>0</v>
      </c>
      <c r="G89">
        <v>0</v>
      </c>
      <c r="H89">
        <v>0</v>
      </c>
      <c r="I89">
        <v>4.1399998664856001</v>
      </c>
      <c r="J89">
        <v>0</v>
      </c>
      <c r="K89">
        <v>0</v>
      </c>
      <c r="L89">
        <v>0</v>
      </c>
      <c r="M89">
        <v>263</v>
      </c>
      <c r="N89">
        <v>644</v>
      </c>
      <c r="O89">
        <v>1583</v>
      </c>
      <c r="P89" t="str">
        <f t="shared" si="4"/>
        <v>Valid</v>
      </c>
      <c r="Q89" t="str">
        <f t="shared" si="5"/>
        <v>weekdays</v>
      </c>
      <c r="R89" t="str" cm="1">
        <f t="array" ref="R89">_xlfn.IFS(
N89=MAX(K89,L89,M89,N89),"Sedentary",M89
=MAX(K89,L89,M89,N89),"Lightly Active",
L89=MAX(K89,L89,M89,N89),"Fairly Active",
K89=MAX(K89,L89,M89,N89),"Very Active"
)</f>
        <v>Sedentary</v>
      </c>
      <c r="S89" t="str">
        <f t="shared" si="6"/>
        <v>Sedentary</v>
      </c>
    </row>
    <row r="90" spans="1:19" x14ac:dyDescent="0.3">
      <c r="A90">
        <v>2026352035</v>
      </c>
      <c r="B90" s="1">
        <v>42465</v>
      </c>
      <c r="C90">
        <v>5645</v>
      </c>
      <c r="D90">
        <v>3.5</v>
      </c>
      <c r="E90">
        <v>3.5</v>
      </c>
      <c r="F90">
        <v>0</v>
      </c>
      <c r="G90">
        <v>0</v>
      </c>
      <c r="H90">
        <v>0</v>
      </c>
      <c r="I90">
        <v>3.5</v>
      </c>
      <c r="J90">
        <v>0</v>
      </c>
      <c r="K90">
        <v>0</v>
      </c>
      <c r="L90">
        <v>0</v>
      </c>
      <c r="M90">
        <v>248</v>
      </c>
      <c r="N90">
        <v>621</v>
      </c>
      <c r="O90">
        <v>1538</v>
      </c>
      <c r="P90" t="str">
        <f t="shared" si="4"/>
        <v>Valid</v>
      </c>
      <c r="Q90" t="str">
        <f t="shared" si="5"/>
        <v>weekdays</v>
      </c>
      <c r="R90" t="str" cm="1">
        <f t="array" ref="R90">_xlfn.IFS(
N90=MAX(K90,L90,M90,N90),"Sedentary",M90
=MAX(K90,L90,M90,N90),"Lightly Active",
L90=MAX(K90,L90,M90,N90),"Fairly Active",
K90=MAX(K90,L90,M90,N90),"Very Active"
)</f>
        <v>Sedentary</v>
      </c>
      <c r="S90" t="str">
        <f t="shared" si="6"/>
        <v>Sedentary</v>
      </c>
    </row>
    <row r="91" spans="1:19" x14ac:dyDescent="0.3">
      <c r="A91">
        <v>2026352035</v>
      </c>
      <c r="B91" s="1">
        <v>42466</v>
      </c>
      <c r="C91">
        <v>3180</v>
      </c>
      <c r="D91">
        <v>1.9700000286102299</v>
      </c>
      <c r="E91">
        <v>1.9700000286102299</v>
      </c>
      <c r="F91">
        <v>0</v>
      </c>
      <c r="G91">
        <v>0</v>
      </c>
      <c r="H91">
        <v>0</v>
      </c>
      <c r="I91">
        <v>1.9700000286102299</v>
      </c>
      <c r="J91">
        <v>0</v>
      </c>
      <c r="K91">
        <v>0</v>
      </c>
      <c r="L91">
        <v>0</v>
      </c>
      <c r="M91">
        <v>185</v>
      </c>
      <c r="N91">
        <v>738</v>
      </c>
      <c r="O91">
        <v>1421</v>
      </c>
      <c r="P91" t="str">
        <f t="shared" si="4"/>
        <v>Valid</v>
      </c>
      <c r="Q91" t="str">
        <f t="shared" si="5"/>
        <v>weekdays</v>
      </c>
      <c r="R91" t="str" cm="1">
        <f t="array" ref="R91">_xlfn.IFS(
N91=MAX(K91,L91,M91,N91),"Sedentary",M91
=MAX(K91,L91,M91,N91),"Lightly Active",
L91=MAX(K91,L91,M91,N91),"Fairly Active",
K91=MAX(K91,L91,M91,N91),"Very Active"
)</f>
        <v>Sedentary</v>
      </c>
      <c r="S91" t="str">
        <f t="shared" si="6"/>
        <v>Sedentary</v>
      </c>
    </row>
    <row r="92" spans="1:19" x14ac:dyDescent="0.3">
      <c r="A92">
        <v>2026352035</v>
      </c>
      <c r="B92" s="1">
        <v>42467</v>
      </c>
      <c r="C92">
        <v>2767</v>
      </c>
      <c r="D92">
        <v>1.7200000286102299</v>
      </c>
      <c r="E92">
        <v>1.7200000286102299</v>
      </c>
      <c r="F92">
        <v>0</v>
      </c>
      <c r="G92">
        <v>0</v>
      </c>
      <c r="H92">
        <v>0</v>
      </c>
      <c r="I92">
        <v>1.7200000286102299</v>
      </c>
      <c r="J92">
        <v>0</v>
      </c>
      <c r="K92">
        <v>0</v>
      </c>
      <c r="L92">
        <v>0</v>
      </c>
      <c r="M92">
        <v>170</v>
      </c>
      <c r="N92">
        <v>673</v>
      </c>
      <c r="O92">
        <v>1392</v>
      </c>
      <c r="P92" t="str">
        <f t="shared" si="4"/>
        <v>Valid</v>
      </c>
      <c r="Q92" t="str">
        <f t="shared" si="5"/>
        <v>weekdays</v>
      </c>
      <c r="R92" t="str" cm="1">
        <f t="array" ref="R92">_xlfn.IFS(
N92=MAX(K92,L92,M92,N92),"Sedentary",M92
=MAX(K92,L92,M92,N92),"Lightly Active",
L92=MAX(K92,L92,M92,N92),"Fairly Active",
K92=MAX(K92,L92,M92,N92),"Very Active"
)</f>
        <v>Sedentary</v>
      </c>
      <c r="S92" t="str">
        <f t="shared" si="6"/>
        <v>Sedentary</v>
      </c>
    </row>
    <row r="93" spans="1:19" x14ac:dyDescent="0.3">
      <c r="A93">
        <v>2026352035</v>
      </c>
      <c r="B93" s="1">
        <v>42468</v>
      </c>
      <c r="C93">
        <v>3762</v>
      </c>
      <c r="D93">
        <v>2.3299999237060498</v>
      </c>
      <c r="E93">
        <v>2.3299999237060498</v>
      </c>
      <c r="F93">
        <v>0</v>
      </c>
      <c r="G93">
        <v>0</v>
      </c>
      <c r="H93">
        <v>0</v>
      </c>
      <c r="I93">
        <v>2.3299999237060498</v>
      </c>
      <c r="J93">
        <v>0</v>
      </c>
      <c r="K93">
        <v>0</v>
      </c>
      <c r="L93">
        <v>0</v>
      </c>
      <c r="M93">
        <v>173</v>
      </c>
      <c r="N93">
        <v>719</v>
      </c>
      <c r="O93">
        <v>1425</v>
      </c>
      <c r="P93" t="str">
        <f t="shared" si="4"/>
        <v>Valid</v>
      </c>
      <c r="Q93" t="str">
        <f t="shared" si="5"/>
        <v>weekdays</v>
      </c>
      <c r="R93" t="str" cm="1">
        <f t="array" ref="R93">_xlfn.IFS(
N93=MAX(K93,L93,M93,N93),"Sedentary",M93
=MAX(K93,L93,M93,N93),"Lightly Active",
L93=MAX(K93,L93,M93,N93),"Fairly Active",
K93=MAX(K93,L93,M93,N93),"Very Active"
)</f>
        <v>Sedentary</v>
      </c>
      <c r="S93" t="str">
        <f t="shared" si="6"/>
        <v>Sedentary</v>
      </c>
    </row>
    <row r="94" spans="1:19" x14ac:dyDescent="0.3">
      <c r="A94">
        <v>2026352035</v>
      </c>
      <c r="B94" s="1">
        <v>42469</v>
      </c>
      <c r="C94">
        <v>3098</v>
      </c>
      <c r="D94">
        <v>1.91999995708466</v>
      </c>
      <c r="E94">
        <v>1.91999995708466</v>
      </c>
      <c r="F94">
        <v>0</v>
      </c>
      <c r="G94">
        <v>0</v>
      </c>
      <c r="H94">
        <v>0</v>
      </c>
      <c r="I94">
        <v>1.91999995708466</v>
      </c>
      <c r="J94">
        <v>0</v>
      </c>
      <c r="K94">
        <v>0</v>
      </c>
      <c r="L94">
        <v>0</v>
      </c>
      <c r="M94">
        <v>185</v>
      </c>
      <c r="N94">
        <v>700</v>
      </c>
      <c r="O94">
        <v>1413</v>
      </c>
      <c r="P94" t="str">
        <f t="shared" si="4"/>
        <v>Valid</v>
      </c>
      <c r="Q94" t="str">
        <f t="shared" si="5"/>
        <v>weekends</v>
      </c>
      <c r="R94" t="str" cm="1">
        <f t="array" ref="R94">_xlfn.IFS(
N94=MAX(K94,L94,M94,N94),"Sedentary",M94
=MAX(K94,L94,M94,N94),"Lightly Active",
L94=MAX(K94,L94,M94,N94),"Fairly Active",
K94=MAX(K94,L94,M94,N94),"Very Active"
)</f>
        <v>Sedentary</v>
      </c>
      <c r="S94" t="str">
        <f t="shared" si="6"/>
        <v>Sedentary</v>
      </c>
    </row>
    <row r="95" spans="1:19" x14ac:dyDescent="0.3">
      <c r="A95">
        <v>2026352035</v>
      </c>
      <c r="B95" s="1">
        <v>42470</v>
      </c>
      <c r="C95">
        <v>5142</v>
      </c>
      <c r="D95">
        <v>3.1900000572204599</v>
      </c>
      <c r="E95">
        <v>3.1900000572204599</v>
      </c>
      <c r="F95">
        <v>0</v>
      </c>
      <c r="G95">
        <v>0</v>
      </c>
      <c r="H95">
        <v>0</v>
      </c>
      <c r="I95">
        <v>3.1900000572204599</v>
      </c>
      <c r="J95">
        <v>0</v>
      </c>
      <c r="K95">
        <v>0</v>
      </c>
      <c r="L95">
        <v>0</v>
      </c>
      <c r="M95">
        <v>230</v>
      </c>
      <c r="N95">
        <v>654</v>
      </c>
      <c r="O95">
        <v>1515</v>
      </c>
      <c r="P95" t="str">
        <f t="shared" si="4"/>
        <v>Valid</v>
      </c>
      <c r="Q95" t="str">
        <f t="shared" si="5"/>
        <v>weekends</v>
      </c>
      <c r="R95" t="str" cm="1">
        <f t="array" ref="R95">_xlfn.IFS(
N95=MAX(K95,L95,M95,N95),"Sedentary",M95
=MAX(K95,L95,M95,N95),"Lightly Active",
L95=MAX(K95,L95,M95,N95),"Fairly Active",
K95=MAX(K95,L95,M95,N95),"Very Active"
)</f>
        <v>Sedentary</v>
      </c>
      <c r="S95" t="str">
        <f t="shared" si="6"/>
        <v>Sedentary</v>
      </c>
    </row>
    <row r="96" spans="1:19" x14ac:dyDescent="0.3">
      <c r="A96">
        <v>2026352035</v>
      </c>
      <c r="B96" s="1">
        <v>42471</v>
      </c>
      <c r="C96">
        <v>3279</v>
      </c>
      <c r="D96">
        <v>2.0299999713897701</v>
      </c>
      <c r="E96">
        <v>2.0299999713897701</v>
      </c>
      <c r="F96">
        <v>0</v>
      </c>
      <c r="G96">
        <v>0</v>
      </c>
      <c r="H96">
        <v>0</v>
      </c>
      <c r="I96">
        <v>2.0299999713897701</v>
      </c>
      <c r="J96">
        <v>0</v>
      </c>
      <c r="K96">
        <v>0</v>
      </c>
      <c r="L96">
        <v>0</v>
      </c>
      <c r="M96">
        <v>164</v>
      </c>
      <c r="N96">
        <v>694</v>
      </c>
      <c r="O96">
        <v>1405</v>
      </c>
      <c r="P96" t="str">
        <f t="shared" si="4"/>
        <v>Valid</v>
      </c>
      <c r="Q96" t="str">
        <f t="shared" si="5"/>
        <v>weekdays</v>
      </c>
      <c r="R96" t="str" cm="1">
        <f t="array" ref="R96">_xlfn.IFS(
N96=MAX(K96,L96,M96,N96),"Sedentary",M96
=MAX(K96,L96,M96,N96),"Lightly Active",
L96=MAX(K96,L96,M96,N96),"Fairly Active",
K96=MAX(K96,L96,M96,N96),"Very Active"
)</f>
        <v>Sedentary</v>
      </c>
      <c r="S96" t="str">
        <f t="shared" si="6"/>
        <v>Sedentary</v>
      </c>
    </row>
    <row r="97" spans="1:19" x14ac:dyDescent="0.3">
      <c r="A97">
        <v>2026352035</v>
      </c>
      <c r="B97" s="1">
        <v>42472</v>
      </c>
      <c r="C97">
        <v>1019</v>
      </c>
      <c r="D97">
        <v>0.62999999523162797</v>
      </c>
      <c r="E97">
        <v>0.62999999523162797</v>
      </c>
      <c r="F97">
        <v>0</v>
      </c>
      <c r="G97">
        <v>0</v>
      </c>
      <c r="H97">
        <v>0</v>
      </c>
      <c r="I97">
        <v>0.62999999523162797</v>
      </c>
      <c r="J97">
        <v>0</v>
      </c>
      <c r="K97">
        <v>0</v>
      </c>
      <c r="L97">
        <v>0</v>
      </c>
      <c r="M97">
        <v>64</v>
      </c>
      <c r="N97">
        <v>223</v>
      </c>
      <c r="O97">
        <v>600</v>
      </c>
      <c r="P97" t="str">
        <f t="shared" si="4"/>
        <v>Valid</v>
      </c>
      <c r="Q97" t="str">
        <f t="shared" si="5"/>
        <v>weekdays</v>
      </c>
      <c r="R97" t="str" cm="1">
        <f t="array" ref="R97">_xlfn.IFS(
N97=MAX(K97,L97,M97,N97),"Sedentary",M97
=MAX(K97,L97,M97,N97),"Lightly Active",
L97=MAX(K97,L97,M97,N97),"Fairly Active",
K97=MAX(K97,L97,M97,N97),"Very Active"
)</f>
        <v>Sedentary</v>
      </c>
      <c r="S97" t="str">
        <f t="shared" si="6"/>
        <v>Sedentary</v>
      </c>
    </row>
    <row r="98" spans="1:19" x14ac:dyDescent="0.3">
      <c r="A98">
        <v>2320127002</v>
      </c>
      <c r="B98" s="1">
        <v>42461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1440</v>
      </c>
      <c r="O98">
        <v>1324</v>
      </c>
      <c r="P98" t="str">
        <f t="shared" ref="P98:P100" si="7">IF(AND(C98=0,D98=0,L98&gt;0),"Invalid","Valid")</f>
        <v>Valid</v>
      </c>
      <c r="Q98" t="str">
        <f t="shared" si="5"/>
        <v>weekdays</v>
      </c>
      <c r="R98" t="str" cm="1">
        <f t="array" ref="R98">_xlfn.IFS(
N98=MAX(K98,L98,M98,N98),"Sedentary",M98
=MAX(K98,L98,M98,N98),"Lightly Active",
L98=MAX(K98,L98,M98,N98),"Fairly Active",
K98=MAX(K98,L98,M98,N98),"Very Active"
)</f>
        <v>Sedentary</v>
      </c>
      <c r="S98" t="str">
        <f t="shared" si="6"/>
        <v>Sedentary</v>
      </c>
    </row>
    <row r="99" spans="1:19" x14ac:dyDescent="0.3">
      <c r="A99">
        <v>2320127002</v>
      </c>
      <c r="B99" s="1">
        <v>42462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1440</v>
      </c>
      <c r="O99">
        <v>1324</v>
      </c>
      <c r="P99" t="str">
        <f t="shared" si="7"/>
        <v>Valid</v>
      </c>
      <c r="Q99" t="str">
        <f t="shared" si="5"/>
        <v>weekends</v>
      </c>
      <c r="R99" t="str" cm="1">
        <f t="array" ref="R99">_xlfn.IFS(
N99=MAX(K99,L99,M99,N99),"Sedentary",M99
=MAX(K99,L99,M99,N99),"Lightly Active",
L99=MAX(K99,L99,M99,N99),"Fairly Active",
K99=MAX(K99,L99,M99,N99),"Very Active"
)</f>
        <v>Sedentary</v>
      </c>
      <c r="S99" t="str">
        <f t="shared" si="6"/>
        <v>Sedentary</v>
      </c>
    </row>
    <row r="100" spans="1:19" x14ac:dyDescent="0.3">
      <c r="A100">
        <v>2320127002</v>
      </c>
      <c r="B100" s="1">
        <v>42463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1440</v>
      </c>
      <c r="O100">
        <v>1324</v>
      </c>
      <c r="P100" t="str">
        <f t="shared" si="7"/>
        <v>Valid</v>
      </c>
      <c r="Q100" t="str">
        <f t="shared" si="5"/>
        <v>weekends</v>
      </c>
      <c r="R100" t="str" cm="1">
        <f t="array" ref="R100">_xlfn.IFS(
N100=MAX(K100,L100,M100,N100),"Sedentary",M100
=MAX(K100,L100,M100,N100),"Lightly Active",
L100=MAX(K100,L100,M100,N100),"Fairly Active",
K100=MAX(K100,L100,M100,N100),"Very Active"
)</f>
        <v>Sedentary</v>
      </c>
      <c r="S100" t="str">
        <f t="shared" si="6"/>
        <v>Sedentary</v>
      </c>
    </row>
    <row r="101" spans="1:19" x14ac:dyDescent="0.3">
      <c r="A101">
        <v>2320127002</v>
      </c>
      <c r="B101" s="1">
        <v>42464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1440</v>
      </c>
      <c r="O101">
        <v>1324</v>
      </c>
      <c r="P101" t="str">
        <f t="shared" ref="P101:P124" si="8">IF(AND(C101=0,D101=0,L101&gt;0),"Invalid","Valid")</f>
        <v>Valid</v>
      </c>
      <c r="Q101" t="str">
        <f t="shared" si="5"/>
        <v>weekdays</v>
      </c>
      <c r="R101" t="str" cm="1">
        <f t="array" ref="R101">_xlfn.IFS(
N101=MAX(K101,L101,M101,N101),"Sedentary",M101
=MAX(K101,L101,M101,N101),"Lightly Active",
L101=MAX(K101,L101,M101,N101),"Fairly Active",
K101=MAX(K101,L101,M101,N101),"Very Active"
)</f>
        <v>Sedentary</v>
      </c>
      <c r="S101" t="str">
        <f t="shared" si="6"/>
        <v>Sedentary</v>
      </c>
    </row>
    <row r="102" spans="1:19" x14ac:dyDescent="0.3">
      <c r="A102">
        <v>2320127002</v>
      </c>
      <c r="B102" s="1">
        <v>42465</v>
      </c>
      <c r="C102">
        <v>4931</v>
      </c>
      <c r="D102">
        <v>3.3199999332428001</v>
      </c>
      <c r="E102">
        <v>3.3199999332428001</v>
      </c>
      <c r="F102">
        <v>0</v>
      </c>
      <c r="G102">
        <v>0</v>
      </c>
      <c r="H102">
        <v>0</v>
      </c>
      <c r="I102">
        <v>3.3199999332428001</v>
      </c>
      <c r="J102">
        <v>0</v>
      </c>
      <c r="K102">
        <v>0</v>
      </c>
      <c r="L102">
        <v>0</v>
      </c>
      <c r="M102">
        <v>175</v>
      </c>
      <c r="N102">
        <v>1265</v>
      </c>
      <c r="O102">
        <v>1708</v>
      </c>
      <c r="P102" t="str">
        <f t="shared" si="8"/>
        <v>Valid</v>
      </c>
      <c r="Q102" t="str">
        <f t="shared" si="5"/>
        <v>weekdays</v>
      </c>
      <c r="R102" t="str" cm="1">
        <f t="array" ref="R102">_xlfn.IFS(
N102=MAX(K102,L102,M102,N102),"Sedentary",M102
=MAX(K102,L102,M102,N102),"Lightly Active",
L102=MAX(K102,L102,M102,N102),"Fairly Active",
K102=MAX(K102,L102,M102,N102),"Very Active"
)</f>
        <v>Sedentary</v>
      </c>
      <c r="S102" t="str">
        <f t="shared" si="6"/>
        <v>Sedentary</v>
      </c>
    </row>
    <row r="103" spans="1:19" x14ac:dyDescent="0.3">
      <c r="A103">
        <v>2320127002</v>
      </c>
      <c r="B103" s="1">
        <v>42466</v>
      </c>
      <c r="C103">
        <v>6999</v>
      </c>
      <c r="D103">
        <v>4.7199997901916504</v>
      </c>
      <c r="E103">
        <v>4.7199997901916504</v>
      </c>
      <c r="F103">
        <v>0</v>
      </c>
      <c r="G103">
        <v>0</v>
      </c>
      <c r="H103">
        <v>0</v>
      </c>
      <c r="I103">
        <v>4.7199997901916504</v>
      </c>
      <c r="J103">
        <v>0</v>
      </c>
      <c r="K103">
        <v>0</v>
      </c>
      <c r="L103">
        <v>0</v>
      </c>
      <c r="M103">
        <v>320</v>
      </c>
      <c r="N103">
        <v>1120</v>
      </c>
      <c r="O103">
        <v>1950</v>
      </c>
      <c r="P103" t="str">
        <f t="shared" si="8"/>
        <v>Valid</v>
      </c>
      <c r="Q103" t="str">
        <f t="shared" si="5"/>
        <v>weekdays</v>
      </c>
      <c r="R103" t="str" cm="1">
        <f t="array" ref="R103">_xlfn.IFS(
N103=MAX(K103,L103,M103,N103),"Sedentary",M103
=MAX(K103,L103,M103,N103),"Lightly Active",
L103=MAX(K103,L103,M103,N103),"Fairly Active",
K103=MAX(K103,L103,M103,N103),"Very Active"
)</f>
        <v>Sedentary</v>
      </c>
      <c r="S103" t="str">
        <f t="shared" si="6"/>
        <v>Sedentary</v>
      </c>
    </row>
    <row r="104" spans="1:19" x14ac:dyDescent="0.3">
      <c r="A104">
        <v>2320127002</v>
      </c>
      <c r="B104" s="1">
        <v>42467</v>
      </c>
      <c r="C104">
        <v>1846</v>
      </c>
      <c r="D104">
        <v>1.2400000095367401</v>
      </c>
      <c r="E104">
        <v>1.2400000095367401</v>
      </c>
      <c r="F104">
        <v>0</v>
      </c>
      <c r="G104">
        <v>0</v>
      </c>
      <c r="H104">
        <v>0</v>
      </c>
      <c r="I104">
        <v>1.2400000095367401</v>
      </c>
      <c r="J104">
        <v>0</v>
      </c>
      <c r="K104">
        <v>0</v>
      </c>
      <c r="L104">
        <v>0</v>
      </c>
      <c r="M104">
        <v>93</v>
      </c>
      <c r="N104">
        <v>1347</v>
      </c>
      <c r="O104">
        <v>1508</v>
      </c>
      <c r="P104" t="str">
        <f t="shared" si="8"/>
        <v>Valid</v>
      </c>
      <c r="Q104" t="str">
        <f t="shared" si="5"/>
        <v>weekdays</v>
      </c>
      <c r="R104" t="str" cm="1">
        <f t="array" ref="R104">_xlfn.IFS(
N104=MAX(K104,L104,M104,N104),"Sedentary",M104
=MAX(K104,L104,M104,N104),"Lightly Active",
L104=MAX(K104,L104,M104,N104),"Fairly Active",
K104=MAX(K104,L104,M104,N104),"Very Active"
)</f>
        <v>Sedentary</v>
      </c>
      <c r="S104" t="str">
        <f t="shared" si="6"/>
        <v>Sedentary</v>
      </c>
    </row>
    <row r="105" spans="1:19" x14ac:dyDescent="0.3">
      <c r="A105">
        <v>2320127002</v>
      </c>
      <c r="B105" s="1">
        <v>42468</v>
      </c>
      <c r="C105">
        <v>3417</v>
      </c>
      <c r="D105">
        <v>2.2999999523162802</v>
      </c>
      <c r="E105">
        <v>2.2999999523162802</v>
      </c>
      <c r="F105">
        <v>0</v>
      </c>
      <c r="G105">
        <v>0</v>
      </c>
      <c r="H105">
        <v>0</v>
      </c>
      <c r="I105">
        <v>2.2999999523162802</v>
      </c>
      <c r="J105">
        <v>0</v>
      </c>
      <c r="K105">
        <v>0</v>
      </c>
      <c r="L105">
        <v>0</v>
      </c>
      <c r="M105">
        <v>153</v>
      </c>
      <c r="N105">
        <v>1287</v>
      </c>
      <c r="O105">
        <v>1625</v>
      </c>
      <c r="P105" t="str">
        <f t="shared" si="8"/>
        <v>Valid</v>
      </c>
      <c r="Q105" t="str">
        <f t="shared" si="5"/>
        <v>weekdays</v>
      </c>
      <c r="R105" t="str" cm="1">
        <f t="array" ref="R105">_xlfn.IFS(
N105=MAX(K105,L105,M105,N105),"Sedentary",M105
=MAX(K105,L105,M105,N105),"Lightly Active",
L105=MAX(K105,L105,M105,N105),"Fairly Active",
K105=MAX(K105,L105,M105,N105),"Very Active"
)</f>
        <v>Sedentary</v>
      </c>
      <c r="S105" t="str">
        <f t="shared" si="6"/>
        <v>Sedentary</v>
      </c>
    </row>
    <row r="106" spans="1:19" x14ac:dyDescent="0.3">
      <c r="A106">
        <v>2320127002</v>
      </c>
      <c r="B106" s="1">
        <v>42469</v>
      </c>
      <c r="C106">
        <v>4863</v>
      </c>
      <c r="D106">
        <v>3.2799999713897701</v>
      </c>
      <c r="E106">
        <v>3.2799999713897701</v>
      </c>
      <c r="F106">
        <v>0</v>
      </c>
      <c r="G106">
        <v>5.9999998658895499E-2</v>
      </c>
      <c r="H106">
        <v>0.41999998688697798</v>
      </c>
      <c r="I106">
        <v>2.7999999523162802</v>
      </c>
      <c r="J106">
        <v>0</v>
      </c>
      <c r="K106">
        <v>1</v>
      </c>
      <c r="L106">
        <v>11</v>
      </c>
      <c r="M106">
        <v>208</v>
      </c>
      <c r="N106">
        <v>1220</v>
      </c>
      <c r="O106">
        <v>1772</v>
      </c>
      <c r="P106" t="str">
        <f t="shared" si="8"/>
        <v>Valid</v>
      </c>
      <c r="Q106" t="str">
        <f t="shared" si="5"/>
        <v>weekends</v>
      </c>
      <c r="R106" t="str" cm="1">
        <f t="array" ref="R106">_xlfn.IFS(
N106=MAX(K106,L106,M106,N106),"Sedentary",M106
=MAX(K106,L106,M106,N106),"Lightly Active",
L106=MAX(K106,L106,M106,N106),"Fairly Active",
K106=MAX(K106,L106,M106,N106),"Very Active"
)</f>
        <v>Sedentary</v>
      </c>
      <c r="S106" t="str">
        <f t="shared" si="6"/>
        <v>Sedentary</v>
      </c>
    </row>
    <row r="107" spans="1:19" x14ac:dyDescent="0.3">
      <c r="A107">
        <v>2320127002</v>
      </c>
      <c r="B107" s="1">
        <v>42470</v>
      </c>
      <c r="C107">
        <v>2277</v>
      </c>
      <c r="D107">
        <v>1.5299999713897701</v>
      </c>
      <c r="E107">
        <v>1.5299999713897701</v>
      </c>
      <c r="F107">
        <v>0</v>
      </c>
      <c r="G107">
        <v>0</v>
      </c>
      <c r="H107">
        <v>0</v>
      </c>
      <c r="I107">
        <v>1.5299999713897701</v>
      </c>
      <c r="J107">
        <v>0</v>
      </c>
      <c r="K107">
        <v>0</v>
      </c>
      <c r="L107">
        <v>0</v>
      </c>
      <c r="M107">
        <v>103</v>
      </c>
      <c r="N107">
        <v>1337</v>
      </c>
      <c r="O107">
        <v>1530</v>
      </c>
      <c r="P107" t="str">
        <f t="shared" si="8"/>
        <v>Valid</v>
      </c>
      <c r="Q107" t="str">
        <f t="shared" si="5"/>
        <v>weekends</v>
      </c>
      <c r="R107" t="str" cm="1">
        <f t="array" ref="R107">_xlfn.IFS(
N107=MAX(K107,L107,M107,N107),"Sedentary",M107
=MAX(K107,L107,M107,N107),"Lightly Active",
L107=MAX(K107,L107,M107,N107),"Fairly Active",
K107=MAX(K107,L107,M107,N107),"Very Active"
)</f>
        <v>Sedentary</v>
      </c>
      <c r="S107" t="str">
        <f t="shared" si="6"/>
        <v>Sedentary</v>
      </c>
    </row>
    <row r="108" spans="1:19" x14ac:dyDescent="0.3">
      <c r="A108">
        <v>2320127002</v>
      </c>
      <c r="B108" s="1">
        <v>42471</v>
      </c>
      <c r="C108">
        <v>11230</v>
      </c>
      <c r="D108">
        <v>7.6700000762939498</v>
      </c>
      <c r="E108">
        <v>7.6700000762939498</v>
      </c>
      <c r="F108">
        <v>0</v>
      </c>
      <c r="G108">
        <v>0.88999998569488503</v>
      </c>
      <c r="H108">
        <v>0.119999997317791</v>
      </c>
      <c r="I108">
        <v>6.6599998474121103</v>
      </c>
      <c r="J108">
        <v>0</v>
      </c>
      <c r="K108">
        <v>10</v>
      </c>
      <c r="L108">
        <v>2</v>
      </c>
      <c r="M108">
        <v>390</v>
      </c>
      <c r="N108">
        <v>1038</v>
      </c>
      <c r="O108">
        <v>2206</v>
      </c>
      <c r="P108" t="str">
        <f t="shared" si="8"/>
        <v>Valid</v>
      </c>
      <c r="Q108" t="str">
        <f t="shared" si="5"/>
        <v>weekdays</v>
      </c>
      <c r="R108" t="str" cm="1">
        <f t="array" ref="R108">_xlfn.IFS(
N108=MAX(K108,L108,M108,N108),"Sedentary",M108
=MAX(K108,L108,M108,N108),"Lightly Active",
L108=MAX(K108,L108,M108,N108),"Fairly Active",
K108=MAX(K108,L108,M108,N108),"Very Active"
)</f>
        <v>Sedentary</v>
      </c>
      <c r="S108" t="str">
        <f t="shared" si="6"/>
        <v>Sedentary</v>
      </c>
    </row>
    <row r="109" spans="1:19" x14ac:dyDescent="0.3">
      <c r="A109">
        <v>2320127002</v>
      </c>
      <c r="B109" s="1">
        <v>42472</v>
      </c>
      <c r="C109">
        <v>2098</v>
      </c>
      <c r="D109">
        <v>1.4099999666214</v>
      </c>
      <c r="E109">
        <v>1.4099999666214</v>
      </c>
      <c r="F109">
        <v>0</v>
      </c>
      <c r="G109">
        <v>0</v>
      </c>
      <c r="H109">
        <v>0</v>
      </c>
      <c r="I109">
        <v>1.4099999666214</v>
      </c>
      <c r="J109">
        <v>0</v>
      </c>
      <c r="K109">
        <v>0</v>
      </c>
      <c r="L109">
        <v>0</v>
      </c>
      <c r="M109">
        <v>69</v>
      </c>
      <c r="N109">
        <v>617</v>
      </c>
      <c r="O109">
        <v>790</v>
      </c>
      <c r="P109" t="str">
        <f t="shared" si="8"/>
        <v>Valid</v>
      </c>
      <c r="Q109" t="str">
        <f t="shared" si="5"/>
        <v>weekdays</v>
      </c>
      <c r="R109" t="str" cm="1">
        <f t="array" ref="R109">_xlfn.IFS(
N109=MAX(K109,L109,M109,N109),"Sedentary",M109
=MAX(K109,L109,M109,N109),"Lightly Active",
L109=MAX(K109,L109,M109,N109),"Fairly Active",
K109=MAX(K109,L109,M109,N109),"Very Active"
)</f>
        <v>Sedentary</v>
      </c>
      <c r="S109" t="str">
        <f t="shared" si="6"/>
        <v>Sedentary</v>
      </c>
    </row>
    <row r="110" spans="1:19" x14ac:dyDescent="0.3">
      <c r="A110">
        <v>2347167796</v>
      </c>
      <c r="B110" s="1">
        <v>42458</v>
      </c>
      <c r="C110">
        <v>10272</v>
      </c>
      <c r="D110">
        <v>6.78999996185303</v>
      </c>
      <c r="E110">
        <v>6.78999996185303</v>
      </c>
      <c r="F110">
        <v>0</v>
      </c>
      <c r="G110">
        <v>0.15999999642372101</v>
      </c>
      <c r="H110">
        <v>3.1199998855590798</v>
      </c>
      <c r="I110">
        <v>3.5</v>
      </c>
      <c r="J110">
        <v>0</v>
      </c>
      <c r="K110">
        <v>2</v>
      </c>
      <c r="L110">
        <v>58</v>
      </c>
      <c r="M110">
        <v>208</v>
      </c>
      <c r="N110">
        <v>700</v>
      </c>
      <c r="O110">
        <v>2041</v>
      </c>
      <c r="P110" t="str">
        <f t="shared" si="8"/>
        <v>Valid</v>
      </c>
      <c r="Q110" t="str">
        <f t="shared" si="5"/>
        <v>weekdays</v>
      </c>
      <c r="R110" t="str" cm="1">
        <f t="array" ref="R110">_xlfn.IFS(
N110=MAX(K110,L110,M110,N110),"Sedentary",M110
=MAX(K110,L110,M110,N110),"Lightly Active",
L110=MAX(K110,L110,M110,N110),"Fairly Active",
K110=MAX(K110,L110,M110,N110),"Very Active"
)</f>
        <v>Sedentary</v>
      </c>
      <c r="S110" t="str">
        <f t="shared" si="6"/>
        <v>Sedentary</v>
      </c>
    </row>
    <row r="111" spans="1:19" x14ac:dyDescent="0.3">
      <c r="A111">
        <v>2347167796</v>
      </c>
      <c r="B111" s="1">
        <v>42459</v>
      </c>
      <c r="C111">
        <v>10533</v>
      </c>
      <c r="D111">
        <v>7.0999999046325701</v>
      </c>
      <c r="E111">
        <v>7.0999999046325701</v>
      </c>
      <c r="F111">
        <v>0</v>
      </c>
      <c r="G111">
        <v>1.7699999809265099</v>
      </c>
      <c r="H111">
        <v>2.0599999427795401</v>
      </c>
      <c r="I111">
        <v>3.2699999809265101</v>
      </c>
      <c r="J111">
        <v>0</v>
      </c>
      <c r="K111">
        <v>21</v>
      </c>
      <c r="L111">
        <v>35</v>
      </c>
      <c r="M111">
        <v>255</v>
      </c>
      <c r="N111">
        <v>615</v>
      </c>
      <c r="O111">
        <v>2187</v>
      </c>
      <c r="P111" t="str">
        <f t="shared" si="8"/>
        <v>Valid</v>
      </c>
      <c r="Q111" t="str">
        <f t="shared" si="5"/>
        <v>weekdays</v>
      </c>
      <c r="R111" t="str" cm="1">
        <f t="array" ref="R111">_xlfn.IFS(
N111=MAX(K111,L111,M111,N111),"Sedentary",M111
=MAX(K111,L111,M111,N111),"Lightly Active",
L111=MAX(K111,L111,M111,N111),"Fairly Active",
K111=MAX(K111,L111,M111,N111),"Very Active"
)</f>
        <v>Sedentary</v>
      </c>
      <c r="S111" t="str">
        <f t="shared" si="6"/>
        <v>Sedentary</v>
      </c>
    </row>
    <row r="112" spans="1:19" x14ac:dyDescent="0.3">
      <c r="A112">
        <v>2347167796</v>
      </c>
      <c r="B112" s="1">
        <v>42460</v>
      </c>
      <c r="C112">
        <v>6760</v>
      </c>
      <c r="D112">
        <v>4.4699997901916504</v>
      </c>
      <c r="E112">
        <v>4.4699997901916504</v>
      </c>
      <c r="F112">
        <v>0</v>
      </c>
      <c r="G112">
        <v>0</v>
      </c>
      <c r="H112">
        <v>0</v>
      </c>
      <c r="I112">
        <v>4.4699997901916504</v>
      </c>
      <c r="J112">
        <v>0</v>
      </c>
      <c r="K112">
        <v>0</v>
      </c>
      <c r="L112">
        <v>0</v>
      </c>
      <c r="M112">
        <v>250</v>
      </c>
      <c r="N112">
        <v>613</v>
      </c>
      <c r="O112">
        <v>1929</v>
      </c>
      <c r="P112" t="str">
        <f t="shared" si="8"/>
        <v>Valid</v>
      </c>
      <c r="Q112" t="str">
        <f t="shared" si="5"/>
        <v>weekdays</v>
      </c>
      <c r="R112" t="str" cm="1">
        <f t="array" ref="R112">_xlfn.IFS(
N112=MAX(K112,L112,M112,N112),"Sedentary",M112
=MAX(K112,L112,M112,N112),"Lightly Active",
L112=MAX(K112,L112,M112,N112),"Fairly Active",
K112=MAX(K112,L112,M112,N112),"Very Active"
)</f>
        <v>Sedentary</v>
      </c>
      <c r="S112" t="str">
        <f t="shared" si="6"/>
        <v>Sedentary</v>
      </c>
    </row>
    <row r="113" spans="1:19" x14ac:dyDescent="0.3">
      <c r="A113">
        <v>2347167796</v>
      </c>
      <c r="B113" s="1">
        <v>42461</v>
      </c>
      <c r="C113">
        <v>8328</v>
      </c>
      <c r="D113">
        <v>5.5100002288818404</v>
      </c>
      <c r="E113">
        <v>5.5100002288818404</v>
      </c>
      <c r="F113">
        <v>0</v>
      </c>
      <c r="G113">
        <v>0</v>
      </c>
      <c r="H113">
        <v>2</v>
      </c>
      <c r="I113">
        <v>3.5</v>
      </c>
      <c r="J113">
        <v>0</v>
      </c>
      <c r="K113">
        <v>0</v>
      </c>
      <c r="L113">
        <v>33</v>
      </c>
      <c r="M113">
        <v>212</v>
      </c>
      <c r="N113">
        <v>804</v>
      </c>
      <c r="O113">
        <v>1935</v>
      </c>
      <c r="P113" t="str">
        <f t="shared" si="8"/>
        <v>Valid</v>
      </c>
      <c r="Q113" t="str">
        <f t="shared" si="5"/>
        <v>weekdays</v>
      </c>
      <c r="R113" t="str" cm="1">
        <f t="array" ref="R113">_xlfn.IFS(
N113=MAX(K113,L113,M113,N113),"Sedentary",M113
=MAX(K113,L113,M113,N113),"Lightly Active",
L113=MAX(K113,L113,M113,N113),"Fairly Active",
K113=MAX(K113,L113,M113,N113),"Very Active"
)</f>
        <v>Sedentary</v>
      </c>
      <c r="S113" t="str">
        <f t="shared" si="6"/>
        <v>Sedentary</v>
      </c>
    </row>
    <row r="114" spans="1:19" x14ac:dyDescent="0.3">
      <c r="A114">
        <v>2347167796</v>
      </c>
      <c r="B114" s="1">
        <v>42462</v>
      </c>
      <c r="C114">
        <v>15459</v>
      </c>
      <c r="D114">
        <v>10.2200002670288</v>
      </c>
      <c r="E114">
        <v>10.2200002670288</v>
      </c>
      <c r="F114">
        <v>0</v>
      </c>
      <c r="G114">
        <v>3.5899999141693102</v>
      </c>
      <c r="H114">
        <v>0.81000000238418601</v>
      </c>
      <c r="I114">
        <v>5.8200001716613796</v>
      </c>
      <c r="J114">
        <v>0</v>
      </c>
      <c r="K114">
        <v>51</v>
      </c>
      <c r="L114">
        <v>16</v>
      </c>
      <c r="M114">
        <v>327</v>
      </c>
      <c r="N114">
        <v>583</v>
      </c>
      <c r="O114">
        <v>2438</v>
      </c>
      <c r="P114" t="str">
        <f t="shared" si="8"/>
        <v>Valid</v>
      </c>
      <c r="Q114" t="str">
        <f t="shared" si="5"/>
        <v>weekends</v>
      </c>
      <c r="R114" t="str" cm="1">
        <f t="array" ref="R114">_xlfn.IFS(
N114=MAX(K114,L114,M114,N114),"Sedentary",M114
=MAX(K114,L114,M114,N114),"Lightly Active",
L114=MAX(K114,L114,M114,N114),"Fairly Active",
K114=MAX(K114,L114,M114,N114),"Very Active"
)</f>
        <v>Sedentary</v>
      </c>
      <c r="S114" t="str">
        <f t="shared" si="6"/>
        <v>Sedentary</v>
      </c>
    </row>
    <row r="115" spans="1:19" x14ac:dyDescent="0.3">
      <c r="A115">
        <v>2347167796</v>
      </c>
      <c r="B115" s="1">
        <v>42463</v>
      </c>
      <c r="C115">
        <v>7485</v>
      </c>
      <c r="D115">
        <v>4.9499998092651403</v>
      </c>
      <c r="E115">
        <v>4.9499998092651403</v>
      </c>
      <c r="F115">
        <v>0</v>
      </c>
      <c r="G115">
        <v>0</v>
      </c>
      <c r="H115">
        <v>0</v>
      </c>
      <c r="I115">
        <v>4.9499998092651403</v>
      </c>
      <c r="J115">
        <v>0</v>
      </c>
      <c r="K115">
        <v>0</v>
      </c>
      <c r="L115">
        <v>0</v>
      </c>
      <c r="M115">
        <v>324</v>
      </c>
      <c r="N115">
        <v>491</v>
      </c>
      <c r="O115">
        <v>2035</v>
      </c>
      <c r="P115" t="str">
        <f t="shared" si="8"/>
        <v>Valid</v>
      </c>
      <c r="Q115" t="str">
        <f t="shared" si="5"/>
        <v>weekends</v>
      </c>
      <c r="R115" t="str" cm="1">
        <f t="array" ref="R115">_xlfn.IFS(
N115=MAX(K115,L115,M115,N115),"Sedentary",M115
=MAX(K115,L115,M115,N115),"Lightly Active",
L115=MAX(K115,L115,M115,N115),"Fairly Active",
K115=MAX(K115,L115,M115,N115),"Very Active"
)</f>
        <v>Sedentary</v>
      </c>
      <c r="S115" t="str">
        <f t="shared" si="6"/>
        <v>Sedentary</v>
      </c>
    </row>
    <row r="116" spans="1:19" x14ac:dyDescent="0.3">
      <c r="A116">
        <v>2347167796</v>
      </c>
      <c r="B116" s="1">
        <v>42464</v>
      </c>
      <c r="C116">
        <v>10254</v>
      </c>
      <c r="D116">
        <v>6.8000001907348597</v>
      </c>
      <c r="E116">
        <v>6.8000001907348597</v>
      </c>
      <c r="F116">
        <v>0</v>
      </c>
      <c r="G116">
        <v>1.41999995708466</v>
      </c>
      <c r="H116">
        <v>1.2300000190734901</v>
      </c>
      <c r="I116">
        <v>4.1599998474121103</v>
      </c>
      <c r="J116">
        <v>0</v>
      </c>
      <c r="K116">
        <v>21</v>
      </c>
      <c r="L116">
        <v>25</v>
      </c>
      <c r="M116">
        <v>231</v>
      </c>
      <c r="N116">
        <v>638</v>
      </c>
      <c r="O116">
        <v>2099</v>
      </c>
      <c r="P116" t="str">
        <f t="shared" si="8"/>
        <v>Valid</v>
      </c>
      <c r="Q116" t="str">
        <f t="shared" si="5"/>
        <v>weekdays</v>
      </c>
      <c r="R116" t="str" cm="1">
        <f t="array" ref="R116">_xlfn.IFS(
N116=MAX(K116,L116,M116,N116),"Sedentary",M116
=MAX(K116,L116,M116,N116),"Lightly Active",
L116=MAX(K116,L116,M116,N116),"Fairly Active",
K116=MAX(K116,L116,M116,N116),"Very Active"
)</f>
        <v>Sedentary</v>
      </c>
      <c r="S116" t="str">
        <f t="shared" si="6"/>
        <v>Sedentary</v>
      </c>
    </row>
    <row r="117" spans="1:19" x14ac:dyDescent="0.3">
      <c r="A117">
        <v>2347167796</v>
      </c>
      <c r="B117" s="1">
        <v>42465</v>
      </c>
      <c r="C117">
        <v>10114</v>
      </c>
      <c r="D117">
        <v>6.8200001716613796</v>
      </c>
      <c r="E117">
        <v>6.8200001716613796</v>
      </c>
      <c r="F117">
        <v>0</v>
      </c>
      <c r="G117">
        <v>1.6399999856948899</v>
      </c>
      <c r="H117">
        <v>0.479999989271164</v>
      </c>
      <c r="I117">
        <v>4.6799998283386204</v>
      </c>
      <c r="J117">
        <v>0</v>
      </c>
      <c r="K117">
        <v>18</v>
      </c>
      <c r="L117">
        <v>9</v>
      </c>
      <c r="M117">
        <v>269</v>
      </c>
      <c r="N117">
        <v>696</v>
      </c>
      <c r="O117">
        <v>2096</v>
      </c>
      <c r="P117" t="str">
        <f t="shared" si="8"/>
        <v>Valid</v>
      </c>
      <c r="Q117" t="str">
        <f t="shared" si="5"/>
        <v>weekdays</v>
      </c>
      <c r="R117" t="str" cm="1">
        <f t="array" ref="R117">_xlfn.IFS(
N117=MAX(K117,L117,M117,N117),"Sedentary",M117
=MAX(K117,L117,M117,N117),"Lightly Active",
L117=MAX(K117,L117,M117,N117),"Fairly Active",
K117=MAX(K117,L117,M117,N117),"Very Active"
)</f>
        <v>Sedentary</v>
      </c>
      <c r="S117" t="str">
        <f t="shared" si="6"/>
        <v>Sedentary</v>
      </c>
    </row>
    <row r="118" spans="1:19" x14ac:dyDescent="0.3">
      <c r="A118">
        <v>2347167796</v>
      </c>
      <c r="B118" s="1">
        <v>42466</v>
      </c>
      <c r="C118">
        <v>11107</v>
      </c>
      <c r="D118">
        <v>7.3400001525878897</v>
      </c>
      <c r="E118">
        <v>7.3400001525878897</v>
      </c>
      <c r="F118">
        <v>0</v>
      </c>
      <c r="G118">
        <v>0.89999997615814198</v>
      </c>
      <c r="H118">
        <v>2.7599999904632599</v>
      </c>
      <c r="I118">
        <v>3.6800000667571999</v>
      </c>
      <c r="J118">
        <v>0</v>
      </c>
      <c r="K118">
        <v>14</v>
      </c>
      <c r="L118">
        <v>46</v>
      </c>
      <c r="M118">
        <v>196</v>
      </c>
      <c r="N118">
        <v>759</v>
      </c>
      <c r="O118">
        <v>2058</v>
      </c>
      <c r="P118" t="str">
        <f t="shared" si="8"/>
        <v>Valid</v>
      </c>
      <c r="Q118" t="str">
        <f t="shared" si="5"/>
        <v>weekdays</v>
      </c>
      <c r="R118" t="str" cm="1">
        <f t="array" ref="R118">_xlfn.IFS(
N118=MAX(K118,L118,M118,N118),"Sedentary",M118
=MAX(K118,L118,M118,N118),"Lightly Active",
L118=MAX(K118,L118,M118,N118),"Fairly Active",
K118=MAX(K118,L118,M118,N118),"Very Active"
)</f>
        <v>Sedentary</v>
      </c>
      <c r="S118" t="str">
        <f t="shared" si="6"/>
        <v>Sedentary</v>
      </c>
    </row>
    <row r="119" spans="1:19" x14ac:dyDescent="0.3">
      <c r="A119">
        <v>2347167796</v>
      </c>
      <c r="B119" s="1">
        <v>42467</v>
      </c>
      <c r="C119">
        <v>10320</v>
      </c>
      <c r="D119">
        <v>6.8499999046325701</v>
      </c>
      <c r="E119">
        <v>6.8499999046325701</v>
      </c>
      <c r="F119">
        <v>0</v>
      </c>
      <c r="G119">
        <v>0.68000000715255704</v>
      </c>
      <c r="H119">
        <v>1.2300000190734901</v>
      </c>
      <c r="I119">
        <v>4.9400000572204599</v>
      </c>
      <c r="J119">
        <v>0</v>
      </c>
      <c r="K119">
        <v>15</v>
      </c>
      <c r="L119">
        <v>32</v>
      </c>
      <c r="M119">
        <v>315</v>
      </c>
      <c r="N119">
        <v>1002</v>
      </c>
      <c r="O119">
        <v>2338</v>
      </c>
      <c r="P119" t="str">
        <f t="shared" si="8"/>
        <v>Valid</v>
      </c>
      <c r="Q119" t="str">
        <f t="shared" si="5"/>
        <v>weekdays</v>
      </c>
      <c r="R119" t="str" cm="1">
        <f t="array" ref="R119">_xlfn.IFS(
N119=MAX(K119,L119,M119,N119),"Sedentary",M119
=MAX(K119,L119,M119,N119),"Lightly Active",
L119=MAX(K119,L119,M119,N119),"Fairly Active",
K119=MAX(K119,L119,M119,N119),"Very Active"
)</f>
        <v>Sedentary</v>
      </c>
      <c r="S119" t="str">
        <f t="shared" si="6"/>
        <v>Sedentary</v>
      </c>
    </row>
    <row r="120" spans="1:19" x14ac:dyDescent="0.3">
      <c r="A120">
        <v>2347167796</v>
      </c>
      <c r="B120" s="1">
        <v>42468</v>
      </c>
      <c r="C120">
        <v>10209</v>
      </c>
      <c r="D120">
        <v>6.75</v>
      </c>
      <c r="E120">
        <v>6.75</v>
      </c>
      <c r="F120">
        <v>0</v>
      </c>
      <c r="G120">
        <v>0.15999999642372101</v>
      </c>
      <c r="H120">
        <v>0.34999999403953602</v>
      </c>
      <c r="I120">
        <v>6.2300000190734899</v>
      </c>
      <c r="J120">
        <v>0</v>
      </c>
      <c r="K120">
        <v>2</v>
      </c>
      <c r="L120">
        <v>6</v>
      </c>
      <c r="M120">
        <v>316</v>
      </c>
      <c r="N120">
        <v>711</v>
      </c>
      <c r="O120">
        <v>2104</v>
      </c>
      <c r="P120" t="str">
        <f t="shared" si="8"/>
        <v>Valid</v>
      </c>
      <c r="Q120" t="str">
        <f t="shared" si="5"/>
        <v>weekdays</v>
      </c>
      <c r="R120" t="str" cm="1">
        <f t="array" ref="R120">_xlfn.IFS(
N120=MAX(K120,L120,M120,N120),"Sedentary",M120
=MAX(K120,L120,M120,N120),"Lightly Active",
L120=MAX(K120,L120,M120,N120),"Fairly Active",
K120=MAX(K120,L120,M120,N120),"Very Active"
)</f>
        <v>Sedentary</v>
      </c>
      <c r="S120" t="str">
        <f t="shared" si="6"/>
        <v>Sedentary</v>
      </c>
    </row>
    <row r="121" spans="1:19" x14ac:dyDescent="0.3">
      <c r="A121">
        <v>2347167796</v>
      </c>
      <c r="B121" s="1">
        <v>42469</v>
      </c>
      <c r="C121">
        <v>16081</v>
      </c>
      <c r="D121">
        <v>10.6300001144409</v>
      </c>
      <c r="E121">
        <v>10.6300001144409</v>
      </c>
      <c r="F121">
        <v>0</v>
      </c>
      <c r="G121">
        <v>1.25</v>
      </c>
      <c r="H121">
        <v>1.8200000524520901</v>
      </c>
      <c r="I121">
        <v>7.5599999427795401</v>
      </c>
      <c r="J121">
        <v>0</v>
      </c>
      <c r="K121">
        <v>16</v>
      </c>
      <c r="L121">
        <v>32</v>
      </c>
      <c r="M121">
        <v>401</v>
      </c>
      <c r="N121">
        <v>970</v>
      </c>
      <c r="O121">
        <v>2488</v>
      </c>
      <c r="P121" t="str">
        <f t="shared" si="8"/>
        <v>Valid</v>
      </c>
      <c r="Q121" t="str">
        <f t="shared" si="5"/>
        <v>weekends</v>
      </c>
      <c r="R121" t="str" cm="1">
        <f t="array" ref="R121">_xlfn.IFS(
N121=MAX(K121,L121,M121,N121),"Sedentary",M121
=MAX(K121,L121,M121,N121),"Lightly Active",
L121=MAX(K121,L121,M121,N121),"Fairly Active",
K121=MAX(K121,L121,M121,N121),"Very Active"
)</f>
        <v>Sedentary</v>
      </c>
      <c r="S121" t="str">
        <f t="shared" si="6"/>
        <v>Sedentary</v>
      </c>
    </row>
    <row r="122" spans="1:19" x14ac:dyDescent="0.3">
      <c r="A122">
        <v>2347167796</v>
      </c>
      <c r="B122" s="1">
        <v>42470</v>
      </c>
      <c r="C122">
        <v>10078</v>
      </c>
      <c r="D122">
        <v>6.8299999237060502</v>
      </c>
      <c r="E122">
        <v>6.8299999237060502</v>
      </c>
      <c r="F122">
        <v>0</v>
      </c>
      <c r="G122">
        <v>1.0199999809265099</v>
      </c>
      <c r="H122">
        <v>0.119999997317791</v>
      </c>
      <c r="I122">
        <v>5.6900000572204599</v>
      </c>
      <c r="J122">
        <v>0</v>
      </c>
      <c r="K122">
        <v>12</v>
      </c>
      <c r="L122">
        <v>3</v>
      </c>
      <c r="M122">
        <v>303</v>
      </c>
      <c r="N122">
        <v>463</v>
      </c>
      <c r="O122">
        <v>2164</v>
      </c>
      <c r="P122" t="str">
        <f t="shared" si="8"/>
        <v>Valid</v>
      </c>
      <c r="Q122" t="str">
        <f t="shared" si="5"/>
        <v>weekends</v>
      </c>
      <c r="R122" t="str" cm="1">
        <f t="array" ref="R122">_xlfn.IFS(
N122=MAX(K122,L122,M122,N122),"Sedentary",M122
=MAX(K122,L122,M122,N122),"Lightly Active",
L122=MAX(K122,L122,M122,N122),"Fairly Active",
K122=MAX(K122,L122,M122,N122),"Very Active"
)</f>
        <v>Sedentary</v>
      </c>
      <c r="S122" t="str">
        <f t="shared" si="6"/>
        <v>Sedentary</v>
      </c>
    </row>
    <row r="123" spans="1:19" x14ac:dyDescent="0.3">
      <c r="A123">
        <v>2347167796</v>
      </c>
      <c r="B123" s="1">
        <v>42471</v>
      </c>
      <c r="C123">
        <v>10001</v>
      </c>
      <c r="D123">
        <v>6.6100001335143999</v>
      </c>
      <c r="E123">
        <v>6.6100001335143999</v>
      </c>
      <c r="F123">
        <v>0</v>
      </c>
      <c r="G123">
        <v>0.33000001311302202</v>
      </c>
      <c r="H123">
        <v>2.9300000667571999</v>
      </c>
      <c r="I123">
        <v>3.3599998950958301</v>
      </c>
      <c r="J123">
        <v>0</v>
      </c>
      <c r="K123">
        <v>5</v>
      </c>
      <c r="L123">
        <v>52</v>
      </c>
      <c r="M123">
        <v>196</v>
      </c>
      <c r="N123">
        <v>788</v>
      </c>
      <c r="O123">
        <v>2009</v>
      </c>
      <c r="P123" t="str">
        <f t="shared" si="8"/>
        <v>Valid</v>
      </c>
      <c r="Q123" t="str">
        <f t="shared" si="5"/>
        <v>weekdays</v>
      </c>
      <c r="R123" t="str" cm="1">
        <f t="array" ref="R123">_xlfn.IFS(
N123=MAX(K123,L123,M123,N123),"Sedentary",M123
=MAX(K123,L123,M123,N123),"Lightly Active",
L123=MAX(K123,L123,M123,N123),"Fairly Active",
K123=MAX(K123,L123,M123,N123),"Very Active"
)</f>
        <v>Sedentary</v>
      </c>
      <c r="S123" t="str">
        <f t="shared" si="6"/>
        <v>Sedentary</v>
      </c>
    </row>
    <row r="124" spans="1:19" x14ac:dyDescent="0.3">
      <c r="A124">
        <v>2347167796</v>
      </c>
      <c r="B124" s="1">
        <v>42472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425</v>
      </c>
      <c r="O124">
        <v>399</v>
      </c>
      <c r="P124" t="str">
        <f t="shared" si="8"/>
        <v>Valid</v>
      </c>
      <c r="Q124" t="str">
        <f t="shared" si="5"/>
        <v>weekdays</v>
      </c>
      <c r="R124" t="str" cm="1">
        <f t="array" ref="R124">_xlfn.IFS(
N124=MAX(K124,L124,M124,N124),"Sedentary",M124
=MAX(K124,L124,M124,N124),"Lightly Active",
L124=MAX(K124,L124,M124,N124),"Fairly Active",
K124=MAX(K124,L124,M124,N124),"Very Active"
)</f>
        <v>Sedentary</v>
      </c>
      <c r="S124" t="str">
        <f t="shared" si="6"/>
        <v>Sedentary</v>
      </c>
    </row>
    <row r="125" spans="1:19" x14ac:dyDescent="0.3">
      <c r="A125">
        <v>2873212765</v>
      </c>
      <c r="B125" s="1">
        <v>42461</v>
      </c>
      <c r="C125">
        <v>890</v>
      </c>
      <c r="D125">
        <v>0.60000002384185802</v>
      </c>
      <c r="E125">
        <v>0.60000002384185802</v>
      </c>
      <c r="F125">
        <v>0</v>
      </c>
      <c r="G125">
        <v>0</v>
      </c>
      <c r="H125">
        <v>0</v>
      </c>
      <c r="I125">
        <v>0.60000002384185802</v>
      </c>
      <c r="J125">
        <v>0</v>
      </c>
      <c r="K125">
        <v>0</v>
      </c>
      <c r="L125">
        <v>0</v>
      </c>
      <c r="M125">
        <v>41</v>
      </c>
      <c r="N125">
        <v>1399</v>
      </c>
      <c r="O125">
        <v>1335</v>
      </c>
      <c r="P125" t="str">
        <f t="shared" ref="P125:P135" si="9">IF(AND(C125=0,D125=0,L125&gt;0),"Invalid","Valid")</f>
        <v>Valid</v>
      </c>
      <c r="Q125" t="str">
        <f t="shared" si="5"/>
        <v>weekdays</v>
      </c>
      <c r="R125" t="str" cm="1">
        <f t="array" ref="R125">_xlfn.IFS(
N125=MAX(K125,L125,M125,N125),"Sedentary",M125
=MAX(K125,L125,M125,N125),"Lightly Active",
L125=MAX(K125,L125,M125,N125),"Fairly Active",
K125=MAX(K125,L125,M125,N125),"Very Active"
)</f>
        <v>Sedentary</v>
      </c>
      <c r="S125" t="str">
        <f t="shared" si="6"/>
        <v>Sedentary</v>
      </c>
    </row>
    <row r="126" spans="1:19" x14ac:dyDescent="0.3">
      <c r="A126">
        <v>2873212765</v>
      </c>
      <c r="B126" s="1">
        <v>42462</v>
      </c>
      <c r="C126">
        <v>2214</v>
      </c>
      <c r="D126">
        <v>1.4900000095367401</v>
      </c>
      <c r="E126">
        <v>1.4900000095367401</v>
      </c>
      <c r="F126">
        <v>0</v>
      </c>
      <c r="G126">
        <v>0</v>
      </c>
      <c r="H126">
        <v>0</v>
      </c>
      <c r="I126">
        <v>1.4900000095367401</v>
      </c>
      <c r="J126">
        <v>0</v>
      </c>
      <c r="K126">
        <v>0</v>
      </c>
      <c r="L126">
        <v>0</v>
      </c>
      <c r="M126">
        <v>197</v>
      </c>
      <c r="N126">
        <v>1243</v>
      </c>
      <c r="O126">
        <v>1559</v>
      </c>
      <c r="P126" t="str">
        <f t="shared" si="9"/>
        <v>Valid</v>
      </c>
      <c r="Q126" t="str">
        <f t="shared" si="5"/>
        <v>weekends</v>
      </c>
      <c r="R126" t="str" cm="1">
        <f t="array" ref="R126">_xlfn.IFS(
N126=MAX(K126,L126,M126,N126),"Sedentary",M126
=MAX(K126,L126,M126,N126),"Lightly Active",
L126=MAX(K126,L126,M126,N126),"Fairly Active",
K126=MAX(K126,L126,M126,N126),"Very Active"
)</f>
        <v>Sedentary</v>
      </c>
      <c r="S126" t="str">
        <f t="shared" si="6"/>
        <v>Sedentary</v>
      </c>
    </row>
    <row r="127" spans="1:19" x14ac:dyDescent="0.3">
      <c r="A127">
        <v>2873212765</v>
      </c>
      <c r="B127" s="1">
        <v>42463</v>
      </c>
      <c r="C127">
        <v>7640</v>
      </c>
      <c r="D127">
        <v>5.1300001144409197</v>
      </c>
      <c r="E127">
        <v>5.1300001144409197</v>
      </c>
      <c r="F127">
        <v>0</v>
      </c>
      <c r="G127">
        <v>0.18999999761581399</v>
      </c>
      <c r="H127">
        <v>0.80000001192092896</v>
      </c>
      <c r="I127">
        <v>4.1500000953674299</v>
      </c>
      <c r="J127">
        <v>0</v>
      </c>
      <c r="K127">
        <v>3</v>
      </c>
      <c r="L127">
        <v>15</v>
      </c>
      <c r="M127">
        <v>315</v>
      </c>
      <c r="N127">
        <v>1107</v>
      </c>
      <c r="O127">
        <v>1845</v>
      </c>
      <c r="P127" t="str">
        <f t="shared" si="9"/>
        <v>Valid</v>
      </c>
      <c r="Q127" t="str">
        <f t="shared" si="5"/>
        <v>weekends</v>
      </c>
      <c r="R127" t="str" cm="1">
        <f t="array" ref="R127">_xlfn.IFS(
N127=MAX(K127,L127,M127,N127),"Sedentary",M127
=MAX(K127,L127,M127,N127),"Lightly Active",
L127=MAX(K127,L127,M127,N127),"Fairly Active",
K127=MAX(K127,L127,M127,N127),"Very Active"
)</f>
        <v>Sedentary</v>
      </c>
      <c r="S127" t="str">
        <f t="shared" si="6"/>
        <v>Sedentary</v>
      </c>
    </row>
    <row r="128" spans="1:19" x14ac:dyDescent="0.3">
      <c r="A128">
        <v>2873212765</v>
      </c>
      <c r="B128" s="1">
        <v>42464</v>
      </c>
      <c r="C128">
        <v>9713</v>
      </c>
      <c r="D128">
        <v>6.5300002098083496</v>
      </c>
      <c r="E128">
        <v>6.5300002098083496</v>
      </c>
      <c r="F128">
        <v>0</v>
      </c>
      <c r="G128">
        <v>0.34000000357627902</v>
      </c>
      <c r="H128">
        <v>0.88999998569488503</v>
      </c>
      <c r="I128">
        <v>5.28999996185303</v>
      </c>
      <c r="J128">
        <v>0</v>
      </c>
      <c r="K128">
        <v>6</v>
      </c>
      <c r="L128">
        <v>24</v>
      </c>
      <c r="M128">
        <v>355</v>
      </c>
      <c r="N128">
        <v>1055</v>
      </c>
      <c r="O128">
        <v>2046</v>
      </c>
      <c r="P128" t="str">
        <f t="shared" si="9"/>
        <v>Valid</v>
      </c>
      <c r="Q128" t="str">
        <f t="shared" si="5"/>
        <v>weekdays</v>
      </c>
      <c r="R128" t="str" cm="1">
        <f t="array" ref="R128">_xlfn.IFS(
N128=MAX(K128,L128,M128,N128),"Sedentary",M128
=MAX(K128,L128,M128,N128),"Lightly Active",
L128=MAX(K128,L128,M128,N128),"Fairly Active",
K128=MAX(K128,L128,M128,N128),"Very Active"
)</f>
        <v>Sedentary</v>
      </c>
      <c r="S128" t="str">
        <f t="shared" si="6"/>
        <v>Sedentary</v>
      </c>
    </row>
    <row r="129" spans="1:19" x14ac:dyDescent="0.3">
      <c r="A129">
        <v>2873212765</v>
      </c>
      <c r="B129" s="1">
        <v>42465</v>
      </c>
      <c r="C129">
        <v>8432</v>
      </c>
      <c r="D129">
        <v>5.6700000762939498</v>
      </c>
      <c r="E129">
        <v>5.6700000762939498</v>
      </c>
      <c r="F129">
        <v>0</v>
      </c>
      <c r="G129">
        <v>0</v>
      </c>
      <c r="H129">
        <v>0</v>
      </c>
      <c r="I129">
        <v>5.6500000953674299</v>
      </c>
      <c r="J129">
        <v>9.9999997764825804E-3</v>
      </c>
      <c r="K129">
        <v>0</v>
      </c>
      <c r="L129">
        <v>0</v>
      </c>
      <c r="M129">
        <v>374</v>
      </c>
      <c r="N129">
        <v>1066</v>
      </c>
      <c r="O129">
        <v>1953</v>
      </c>
      <c r="P129" t="str">
        <f t="shared" si="9"/>
        <v>Valid</v>
      </c>
      <c r="Q129" t="str">
        <f t="shared" si="5"/>
        <v>weekdays</v>
      </c>
      <c r="R129" t="str" cm="1">
        <f t="array" ref="R129">_xlfn.IFS(
N129=MAX(K129,L129,M129,N129),"Sedentary",M129
=MAX(K129,L129,M129,N129),"Lightly Active",
L129=MAX(K129,L129,M129,N129),"Fairly Active",
K129=MAX(K129,L129,M129,N129),"Very Active"
)</f>
        <v>Sedentary</v>
      </c>
      <c r="S129" t="str">
        <f t="shared" si="6"/>
        <v>Sedentary</v>
      </c>
    </row>
    <row r="130" spans="1:19" x14ac:dyDescent="0.3">
      <c r="A130">
        <v>2873212765</v>
      </c>
      <c r="B130" s="1">
        <v>42466</v>
      </c>
      <c r="C130">
        <v>7350</v>
      </c>
      <c r="D130">
        <v>4.9400000572204599</v>
      </c>
      <c r="E130">
        <v>4.9400000572204599</v>
      </c>
      <c r="F130">
        <v>0</v>
      </c>
      <c r="G130">
        <v>0</v>
      </c>
      <c r="H130">
        <v>0</v>
      </c>
      <c r="I130">
        <v>4.9400000572204599</v>
      </c>
      <c r="J130">
        <v>0</v>
      </c>
      <c r="K130">
        <v>0</v>
      </c>
      <c r="L130">
        <v>0</v>
      </c>
      <c r="M130">
        <v>382</v>
      </c>
      <c r="N130">
        <v>1058</v>
      </c>
      <c r="O130">
        <v>1910</v>
      </c>
      <c r="P130" t="str">
        <f t="shared" si="9"/>
        <v>Valid</v>
      </c>
      <c r="Q130" t="str">
        <f t="shared" si="5"/>
        <v>weekdays</v>
      </c>
      <c r="R130" t="str" cm="1">
        <f t="array" ref="R130">_xlfn.IFS(
N130=MAX(K130,L130,M130,N130),"Sedentary",M130
=MAX(K130,L130,M130,N130),"Lightly Active",
L130=MAX(K130,L130,M130,N130),"Fairly Active",
K130=MAX(K130,L130,M130,N130),"Very Active"
)</f>
        <v>Sedentary</v>
      </c>
      <c r="S130" t="str">
        <f t="shared" si="6"/>
        <v>Sedentary</v>
      </c>
    </row>
    <row r="131" spans="1:19" x14ac:dyDescent="0.3">
      <c r="A131">
        <v>2873212765</v>
      </c>
      <c r="B131" s="1">
        <v>42467</v>
      </c>
      <c r="C131">
        <v>9353</v>
      </c>
      <c r="D131">
        <v>6.3099999427795401</v>
      </c>
      <c r="E131">
        <v>6.3099999427795401</v>
      </c>
      <c r="F131">
        <v>0</v>
      </c>
      <c r="G131">
        <v>0.37000000476837203</v>
      </c>
      <c r="H131">
        <v>0.68999999761581399</v>
      </c>
      <c r="I131">
        <v>5.2399997711181596</v>
      </c>
      <c r="J131">
        <v>0</v>
      </c>
      <c r="K131">
        <v>5</v>
      </c>
      <c r="L131">
        <v>17</v>
      </c>
      <c r="M131">
        <v>363</v>
      </c>
      <c r="N131">
        <v>1055</v>
      </c>
      <c r="O131">
        <v>2035</v>
      </c>
      <c r="P131" t="str">
        <f t="shared" si="9"/>
        <v>Valid</v>
      </c>
      <c r="Q131" t="str">
        <f t="shared" ref="Q131:Q194" si="10">IF(WEEKDAY(B131,2)&gt;5,"weekends","weekdays")</f>
        <v>weekdays</v>
      </c>
      <c r="R131" t="str" cm="1">
        <f t="array" ref="R131">_xlfn.IFS(
N131=MAX(K131,L131,M131,N131),"Sedentary",M131
=MAX(K131,L131,M131,N131),"Lightly Active",
L131=MAX(K131,L131,M131,N131),"Fairly Active",
K131=MAX(K131,L131,M131,N131),"Very Active"
)</f>
        <v>Sedentary</v>
      </c>
      <c r="S131" t="str">
        <f t="shared" ref="S131:S194" si="11">IF(N132&gt;(K132+L132+M132),"Sedentary","Active")</f>
        <v>Sedentary</v>
      </c>
    </row>
    <row r="132" spans="1:19" x14ac:dyDescent="0.3">
      <c r="A132">
        <v>2873212765</v>
      </c>
      <c r="B132" s="1">
        <v>42468</v>
      </c>
      <c r="C132">
        <v>7157</v>
      </c>
      <c r="D132">
        <v>4.8099999427795401</v>
      </c>
      <c r="E132">
        <v>4.8099999427795401</v>
      </c>
      <c r="F132">
        <v>0</v>
      </c>
      <c r="G132">
        <v>0</v>
      </c>
      <c r="H132">
        <v>0</v>
      </c>
      <c r="I132">
        <v>4.8099999427795401</v>
      </c>
      <c r="J132">
        <v>0</v>
      </c>
      <c r="K132">
        <v>0</v>
      </c>
      <c r="L132">
        <v>0</v>
      </c>
      <c r="M132">
        <v>380</v>
      </c>
      <c r="N132">
        <v>1060</v>
      </c>
      <c r="O132">
        <v>1944</v>
      </c>
      <c r="P132" t="str">
        <f t="shared" si="9"/>
        <v>Valid</v>
      </c>
      <c r="Q132" t="str">
        <f t="shared" si="10"/>
        <v>weekdays</v>
      </c>
      <c r="R132" t="str" cm="1">
        <f t="array" ref="R132">_xlfn.IFS(
N132=MAX(K132,L132,M132,N132),"Sedentary",M132
=MAX(K132,L132,M132,N132),"Lightly Active",
L132=MAX(K132,L132,M132,N132),"Fairly Active",
K132=MAX(K132,L132,M132,N132),"Very Active"
)</f>
        <v>Sedentary</v>
      </c>
      <c r="S132" t="str">
        <f t="shared" si="11"/>
        <v>Sedentary</v>
      </c>
    </row>
    <row r="133" spans="1:19" x14ac:dyDescent="0.3">
      <c r="A133">
        <v>2873212765</v>
      </c>
      <c r="B133" s="1">
        <v>42469</v>
      </c>
      <c r="C133">
        <v>14103</v>
      </c>
      <c r="D133">
        <v>9.5600004196166992</v>
      </c>
      <c r="E133">
        <v>9.5600004196166992</v>
      </c>
      <c r="F133">
        <v>0</v>
      </c>
      <c r="G133">
        <v>3.0199999809265101</v>
      </c>
      <c r="H133">
        <v>0.40999999642372098</v>
      </c>
      <c r="I133">
        <v>6.1399998664856001</v>
      </c>
      <c r="J133">
        <v>9.9999997764825804E-3</v>
      </c>
      <c r="K133">
        <v>46</v>
      </c>
      <c r="L133">
        <v>8</v>
      </c>
      <c r="M133">
        <v>288</v>
      </c>
      <c r="N133">
        <v>1098</v>
      </c>
      <c r="O133">
        <v>2257</v>
      </c>
      <c r="P133" t="str">
        <f t="shared" si="9"/>
        <v>Valid</v>
      </c>
      <c r="Q133" t="str">
        <f t="shared" si="10"/>
        <v>weekends</v>
      </c>
      <c r="R133" t="str" cm="1">
        <f t="array" ref="R133">_xlfn.IFS(
N133=MAX(K133,L133,M133,N133),"Sedentary",M133
=MAX(K133,L133,M133,N133),"Lightly Active",
L133=MAX(K133,L133,M133,N133),"Fairly Active",
K133=MAX(K133,L133,M133,N133),"Very Active"
)</f>
        <v>Sedentary</v>
      </c>
      <c r="S133" t="str">
        <f t="shared" si="11"/>
        <v>Sedentary</v>
      </c>
    </row>
    <row r="134" spans="1:19" x14ac:dyDescent="0.3">
      <c r="A134">
        <v>2873212765</v>
      </c>
      <c r="B134" s="1">
        <v>42470</v>
      </c>
      <c r="C134">
        <v>5290</v>
      </c>
      <c r="D134">
        <v>3.5499999523162802</v>
      </c>
      <c r="E134">
        <v>3.5499999523162802</v>
      </c>
      <c r="F134">
        <v>0</v>
      </c>
      <c r="G134">
        <v>3.9999999105930301E-2</v>
      </c>
      <c r="H134">
        <v>0.34000000357627902</v>
      </c>
      <c r="I134">
        <v>3.1700000762939502</v>
      </c>
      <c r="J134">
        <v>0</v>
      </c>
      <c r="K134">
        <v>1</v>
      </c>
      <c r="L134">
        <v>8</v>
      </c>
      <c r="M134">
        <v>251</v>
      </c>
      <c r="N134">
        <v>1180</v>
      </c>
      <c r="O134">
        <v>1724</v>
      </c>
      <c r="P134" t="str">
        <f t="shared" si="9"/>
        <v>Valid</v>
      </c>
      <c r="Q134" t="str">
        <f t="shared" si="10"/>
        <v>weekends</v>
      </c>
      <c r="R134" t="str" cm="1">
        <f t="array" ref="R134">_xlfn.IFS(
N134=MAX(K134,L134,M134,N134),"Sedentary",M134
=MAX(K134,L134,M134,N134),"Lightly Active",
L134=MAX(K134,L134,M134,N134),"Fairly Active",
K134=MAX(K134,L134,M134,N134),"Very Active"
)</f>
        <v>Sedentary</v>
      </c>
      <c r="S134" t="str">
        <f t="shared" si="11"/>
        <v>Sedentary</v>
      </c>
    </row>
    <row r="135" spans="1:19" x14ac:dyDescent="0.3">
      <c r="A135">
        <v>2873212765</v>
      </c>
      <c r="B135" s="1">
        <v>42471</v>
      </c>
      <c r="C135">
        <v>7497</v>
      </c>
      <c r="D135">
        <v>5.03999996185303</v>
      </c>
      <c r="E135">
        <v>5.03999996185303</v>
      </c>
      <c r="F135">
        <v>0</v>
      </c>
      <c r="G135">
        <v>0</v>
      </c>
      <c r="H135">
        <v>0</v>
      </c>
      <c r="I135">
        <v>5.03999996185303</v>
      </c>
      <c r="J135">
        <v>0</v>
      </c>
      <c r="K135">
        <v>0</v>
      </c>
      <c r="L135">
        <v>0</v>
      </c>
      <c r="M135">
        <v>357</v>
      </c>
      <c r="N135">
        <v>882</v>
      </c>
      <c r="O135">
        <v>1741</v>
      </c>
      <c r="P135" t="str">
        <f t="shared" si="9"/>
        <v>Valid</v>
      </c>
      <c r="Q135" t="str">
        <f t="shared" si="10"/>
        <v>weekdays</v>
      </c>
      <c r="R135" t="str" cm="1">
        <f t="array" ref="R135">_xlfn.IFS(
N135=MAX(K135,L135,M135,N135),"Sedentary",M135
=MAX(K135,L135,M135,N135),"Lightly Active",
L135=MAX(K135,L135,M135,N135),"Fairly Active",
K135=MAX(K135,L135,M135,N135),"Very Active"
)</f>
        <v>Sedentary</v>
      </c>
      <c r="S135" t="str">
        <f t="shared" si="11"/>
        <v>Sedentary</v>
      </c>
    </row>
    <row r="136" spans="1:19" x14ac:dyDescent="0.3">
      <c r="A136">
        <v>2873212765</v>
      </c>
      <c r="B136" s="1">
        <v>42472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1440</v>
      </c>
      <c r="O136">
        <v>0</v>
      </c>
      <c r="P136" t="str">
        <f t="shared" ref="P136:P141" si="12">IF(AND(C136=0,D136=0,L136&gt;0),"Invalid","Valid")</f>
        <v>Valid</v>
      </c>
      <c r="Q136" t="str">
        <f t="shared" si="10"/>
        <v>weekdays</v>
      </c>
      <c r="R136" t="str" cm="1">
        <f t="array" ref="R136">_xlfn.IFS(
N136=MAX(K136,L136,M136,N136),"Sedentary",M136
=MAX(K136,L136,M136,N136),"Lightly Active",
L136=MAX(K136,L136,M136,N136),"Fairly Active",
K136=MAX(K136,L136,M136,N136),"Very Active"
)</f>
        <v>Sedentary</v>
      </c>
      <c r="S136" t="str">
        <f t="shared" si="11"/>
        <v>Sedentary</v>
      </c>
    </row>
    <row r="137" spans="1:19" x14ac:dyDescent="0.3">
      <c r="A137">
        <v>2891001357</v>
      </c>
      <c r="B137" s="1">
        <v>42458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1440</v>
      </c>
      <c r="O137">
        <v>1920</v>
      </c>
      <c r="P137" t="str">
        <f t="shared" si="12"/>
        <v>Valid</v>
      </c>
      <c r="Q137" t="str">
        <f t="shared" si="10"/>
        <v>weekdays</v>
      </c>
      <c r="R137" t="str" cm="1">
        <f t="array" ref="R137">_xlfn.IFS(
N137=MAX(K137,L137,M137,N137),"Sedentary",M137
=MAX(K137,L137,M137,N137),"Lightly Active",
L137=MAX(K137,L137,M137,N137),"Fairly Active",
K137=MAX(K137,L137,M137,N137),"Very Active"
)</f>
        <v>Sedentary</v>
      </c>
      <c r="S137" t="str">
        <f t="shared" si="11"/>
        <v>Sedentary</v>
      </c>
    </row>
    <row r="138" spans="1:19" x14ac:dyDescent="0.3">
      <c r="A138">
        <v>2891001357</v>
      </c>
      <c r="B138" s="1">
        <v>42459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1440</v>
      </c>
      <c r="O138">
        <v>1920</v>
      </c>
      <c r="P138" t="str">
        <f t="shared" si="12"/>
        <v>Valid</v>
      </c>
      <c r="Q138" t="str">
        <f t="shared" si="10"/>
        <v>weekdays</v>
      </c>
      <c r="R138" t="str" cm="1">
        <f t="array" ref="R138">_xlfn.IFS(
N138=MAX(K138,L138,M138,N138),"Sedentary",M138
=MAX(K138,L138,M138,N138),"Lightly Active",
L138=MAX(K138,L138,M138,N138),"Fairly Active",
K138=MAX(K138,L138,M138,N138),"Very Active"
)</f>
        <v>Sedentary</v>
      </c>
      <c r="S138" t="str">
        <f t="shared" si="11"/>
        <v>Sedentary</v>
      </c>
    </row>
    <row r="139" spans="1:19" x14ac:dyDescent="0.3">
      <c r="A139">
        <v>2891001357</v>
      </c>
      <c r="B139" s="1">
        <v>42460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1440</v>
      </c>
      <c r="O139">
        <v>1920</v>
      </c>
      <c r="P139" t="str">
        <f t="shared" si="12"/>
        <v>Valid</v>
      </c>
      <c r="Q139" t="str">
        <f t="shared" si="10"/>
        <v>weekdays</v>
      </c>
      <c r="R139" t="str" cm="1">
        <f t="array" ref="R139">_xlfn.IFS(
N139=MAX(K139,L139,M139,N139),"Sedentary",M139
=MAX(K139,L139,M139,N139),"Lightly Active",
L139=MAX(K139,L139,M139,N139),"Fairly Active",
K139=MAX(K139,L139,M139,N139),"Very Active"
)</f>
        <v>Sedentary</v>
      </c>
      <c r="S139" t="str">
        <f t="shared" si="11"/>
        <v>Sedentary</v>
      </c>
    </row>
    <row r="140" spans="1:19" x14ac:dyDescent="0.3">
      <c r="A140">
        <v>2891001357</v>
      </c>
      <c r="B140" s="1">
        <v>42461</v>
      </c>
      <c r="C140">
        <v>0</v>
      </c>
      <c r="D140">
        <v>0</v>
      </c>
      <c r="E140">
        <v>0</v>
      </c>
      <c r="F140">
        <v>4.8280320167541504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660</v>
      </c>
      <c r="M140">
        <v>0</v>
      </c>
      <c r="N140">
        <v>780</v>
      </c>
      <c r="O140">
        <v>4562</v>
      </c>
      <c r="P140" t="str">
        <f t="shared" si="12"/>
        <v>Invalid</v>
      </c>
      <c r="Q140" t="str">
        <f t="shared" si="10"/>
        <v>weekdays</v>
      </c>
      <c r="R140" t="str" cm="1">
        <f t="array" ref="R140">_xlfn.IFS(
N140=MAX(K140,L140,M140,N140),"Sedentary",M140
=MAX(K140,L140,M140,N140),"Lightly Active",
L140=MAX(K140,L140,M140,N140),"Fairly Active",
K140=MAX(K140,L140,M140,N140),"Very Active"
)</f>
        <v>Sedentary</v>
      </c>
      <c r="S140" t="str">
        <f t="shared" si="11"/>
        <v>Active</v>
      </c>
    </row>
    <row r="141" spans="1:19" x14ac:dyDescent="0.3">
      <c r="A141">
        <v>2891001357</v>
      </c>
      <c r="B141" s="1">
        <v>42462</v>
      </c>
      <c r="C141">
        <v>4126</v>
      </c>
      <c r="D141">
        <v>3.2200000286102299</v>
      </c>
      <c r="E141">
        <v>0</v>
      </c>
      <c r="F141">
        <v>3.21868801116943</v>
      </c>
      <c r="G141">
        <v>0</v>
      </c>
      <c r="H141">
        <v>0</v>
      </c>
      <c r="I141">
        <v>3.2200000286102299</v>
      </c>
      <c r="J141">
        <v>0</v>
      </c>
      <c r="K141">
        <v>0</v>
      </c>
      <c r="L141">
        <v>0</v>
      </c>
      <c r="M141">
        <v>720</v>
      </c>
      <c r="N141">
        <v>720</v>
      </c>
      <c r="O141">
        <v>2881</v>
      </c>
      <c r="P141" t="str">
        <f t="shared" si="12"/>
        <v>Valid</v>
      </c>
      <c r="Q141" t="str">
        <f t="shared" si="10"/>
        <v>weekends</v>
      </c>
      <c r="R141" t="str" cm="1">
        <f t="array" ref="R141">_xlfn.IFS(
N141=MAX(K141,L141,M141,N141),"Sedentary",M141
=MAX(K141,L141,M141,N141),"Lightly Active",
L141=MAX(K141,L141,M141,N141),"Fairly Active",
K141=MAX(K141,L141,M141,N141),"Very Active"
)</f>
        <v>Sedentary</v>
      </c>
      <c r="S141" t="str">
        <f t="shared" si="11"/>
        <v>Sedentary</v>
      </c>
    </row>
    <row r="142" spans="1:19" x14ac:dyDescent="0.3">
      <c r="A142">
        <v>2891001357</v>
      </c>
      <c r="B142" s="1">
        <v>42463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1920</v>
      </c>
      <c r="P142" t="str">
        <f t="shared" ref="P142:P198" si="13">IF(AND(C142=0,D142=0,L142&gt;0),"Invalid","Valid")</f>
        <v>Valid</v>
      </c>
      <c r="Q142" t="str">
        <f t="shared" si="10"/>
        <v>weekends</v>
      </c>
      <c r="R142" t="str" cm="1">
        <f t="array" ref="R142">_xlfn.IFS(
N142=MAX(K142,L142,M142,N142),"Sedentary",M142
=MAX(K142,L142,M142,N142),"Lightly Active",
L142=MAX(K142,L142,M142,N142),"Fairly Active",
K142=MAX(K142,L142,M142,N142),"Very Active"
)</f>
        <v>Sedentary</v>
      </c>
      <c r="S142" t="str">
        <f t="shared" si="11"/>
        <v>Sedentary</v>
      </c>
    </row>
    <row r="143" spans="1:19" x14ac:dyDescent="0.3">
      <c r="A143">
        <v>2891001357</v>
      </c>
      <c r="B143" s="1">
        <v>42464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1920</v>
      </c>
      <c r="P143" t="str">
        <f t="shared" si="13"/>
        <v>Valid</v>
      </c>
      <c r="Q143" t="str">
        <f t="shared" si="10"/>
        <v>weekdays</v>
      </c>
      <c r="R143" t="str" cm="1">
        <f t="array" ref="R143">_xlfn.IFS(
N143=MAX(K143,L143,M143,N143),"Sedentary",M143
=MAX(K143,L143,M143,N143),"Lightly Active",
L143=MAX(K143,L143,M143,N143),"Fairly Active",
K143=MAX(K143,L143,M143,N143),"Very Active"
)</f>
        <v>Sedentary</v>
      </c>
      <c r="S143" t="str">
        <f t="shared" si="11"/>
        <v>Active</v>
      </c>
    </row>
    <row r="144" spans="1:19" x14ac:dyDescent="0.3">
      <c r="A144">
        <v>2891001357</v>
      </c>
      <c r="B144" s="1">
        <v>42465</v>
      </c>
      <c r="C144">
        <v>2063</v>
      </c>
      <c r="D144">
        <v>1.6100000143051101</v>
      </c>
      <c r="E144">
        <v>0</v>
      </c>
      <c r="F144">
        <v>1.6093440055847199</v>
      </c>
      <c r="G144">
        <v>0</v>
      </c>
      <c r="H144">
        <v>0</v>
      </c>
      <c r="I144">
        <v>1.6100000143051101</v>
      </c>
      <c r="J144">
        <v>0</v>
      </c>
      <c r="K144">
        <v>0</v>
      </c>
      <c r="L144">
        <v>0</v>
      </c>
      <c r="M144">
        <v>630</v>
      </c>
      <c r="N144">
        <v>99</v>
      </c>
      <c r="O144">
        <v>1144</v>
      </c>
      <c r="P144" t="str">
        <f t="shared" si="13"/>
        <v>Valid</v>
      </c>
      <c r="Q144" t="str">
        <f t="shared" si="10"/>
        <v>weekdays</v>
      </c>
      <c r="R144" t="str" cm="1">
        <f t="array" ref="R144">_xlfn.IFS(
N144=MAX(K144,L144,M144,N144),"Sedentary",M144
=MAX(K144,L144,M144,N144),"Lightly Active",
L144=MAX(K144,L144,M144,N144),"Fairly Active",
K144=MAX(K144,L144,M144,N144),"Very Active"
)</f>
        <v>Lightly Active</v>
      </c>
      <c r="S144" t="str">
        <f t="shared" si="11"/>
        <v>Sedentary</v>
      </c>
    </row>
    <row r="145" spans="1:19" x14ac:dyDescent="0.3">
      <c r="A145">
        <v>3372868164</v>
      </c>
      <c r="B145" s="1">
        <v>42461</v>
      </c>
      <c r="C145">
        <v>5785</v>
      </c>
      <c r="D145">
        <v>3.9500000476837198</v>
      </c>
      <c r="E145">
        <v>3.9500000476837198</v>
      </c>
      <c r="F145">
        <v>0</v>
      </c>
      <c r="G145">
        <v>0</v>
      </c>
      <c r="H145">
        <v>0</v>
      </c>
      <c r="I145">
        <v>3.9100000858306898</v>
      </c>
      <c r="J145">
        <v>3.9999999105930301E-2</v>
      </c>
      <c r="K145">
        <v>0</v>
      </c>
      <c r="L145">
        <v>0</v>
      </c>
      <c r="M145">
        <v>311</v>
      </c>
      <c r="N145">
        <v>1129</v>
      </c>
      <c r="O145">
        <v>1852</v>
      </c>
      <c r="P145" t="str">
        <f t="shared" si="13"/>
        <v>Valid</v>
      </c>
      <c r="Q145" t="str">
        <f t="shared" si="10"/>
        <v>weekdays</v>
      </c>
      <c r="R145" t="str" cm="1">
        <f t="array" ref="R145">_xlfn.IFS(
N145=MAX(K145,L145,M145,N145),"Sedentary",M145
=MAX(K145,L145,M145,N145),"Lightly Active",
L145=MAX(K145,L145,M145,N145),"Fairly Active",
K145=MAX(K145,L145,M145,N145),"Very Active"
)</f>
        <v>Sedentary</v>
      </c>
      <c r="S145" t="str">
        <f t="shared" si="11"/>
        <v>Sedentary</v>
      </c>
    </row>
    <row r="146" spans="1:19" x14ac:dyDescent="0.3">
      <c r="A146">
        <v>3372868164</v>
      </c>
      <c r="B146" s="1">
        <v>42462</v>
      </c>
      <c r="C146">
        <v>7625</v>
      </c>
      <c r="D146">
        <v>5.2300000190734899</v>
      </c>
      <c r="E146">
        <v>5.2300000190734899</v>
      </c>
      <c r="F146">
        <v>0</v>
      </c>
      <c r="G146">
        <v>1.6799999475479099</v>
      </c>
      <c r="H146">
        <v>3.9999999105930301E-2</v>
      </c>
      <c r="I146">
        <v>3.5</v>
      </c>
      <c r="J146">
        <v>9.9999997764825804E-3</v>
      </c>
      <c r="K146">
        <v>24</v>
      </c>
      <c r="L146">
        <v>1</v>
      </c>
      <c r="M146">
        <v>341</v>
      </c>
      <c r="N146">
        <v>1074</v>
      </c>
      <c r="O146">
        <v>2069</v>
      </c>
      <c r="P146" t="str">
        <f t="shared" si="13"/>
        <v>Valid</v>
      </c>
      <c r="Q146" t="str">
        <f t="shared" si="10"/>
        <v>weekends</v>
      </c>
      <c r="R146" t="str" cm="1">
        <f t="array" ref="R146">_xlfn.IFS(
N146=MAX(K146,L146,M146,N146),"Sedentary",M146
=MAX(K146,L146,M146,N146),"Lightly Active",
L146=MAX(K146,L146,M146,N146),"Fairly Active",
K146=MAX(K146,L146,M146,N146),"Very Active"
)</f>
        <v>Sedentary</v>
      </c>
      <c r="S146" t="str">
        <f t="shared" si="11"/>
        <v>Sedentary</v>
      </c>
    </row>
    <row r="147" spans="1:19" x14ac:dyDescent="0.3">
      <c r="A147">
        <v>3372868164</v>
      </c>
      <c r="B147" s="1">
        <v>42463</v>
      </c>
      <c r="C147">
        <v>4706</v>
      </c>
      <c r="D147">
        <v>3.21000003814697</v>
      </c>
      <c r="E147">
        <v>3.21000003814697</v>
      </c>
      <c r="F147">
        <v>0</v>
      </c>
      <c r="G147">
        <v>0</v>
      </c>
      <c r="H147">
        <v>0</v>
      </c>
      <c r="I147">
        <v>3.21000003814697</v>
      </c>
      <c r="J147">
        <v>0</v>
      </c>
      <c r="K147">
        <v>0</v>
      </c>
      <c r="L147">
        <v>0</v>
      </c>
      <c r="M147">
        <v>299</v>
      </c>
      <c r="N147">
        <v>1141</v>
      </c>
      <c r="O147">
        <v>1816</v>
      </c>
      <c r="P147" t="str">
        <f t="shared" si="13"/>
        <v>Valid</v>
      </c>
      <c r="Q147" t="str">
        <f t="shared" si="10"/>
        <v>weekends</v>
      </c>
      <c r="R147" t="str" cm="1">
        <f t="array" ref="R147">_xlfn.IFS(
N147=MAX(K147,L147,M147,N147),"Sedentary",M147
=MAX(K147,L147,M147,N147),"Lightly Active",
L147=MAX(K147,L147,M147,N147),"Fairly Active",
K147=MAX(K147,L147,M147,N147),"Very Active"
)</f>
        <v>Sedentary</v>
      </c>
      <c r="S147" t="str">
        <f t="shared" si="11"/>
        <v>Sedentary</v>
      </c>
    </row>
    <row r="148" spans="1:19" x14ac:dyDescent="0.3">
      <c r="A148">
        <v>3372868164</v>
      </c>
      <c r="B148" s="1">
        <v>42464</v>
      </c>
      <c r="C148">
        <v>5861</v>
      </c>
      <c r="D148">
        <v>4.0199999809265101</v>
      </c>
      <c r="E148">
        <v>4.0199999809265101</v>
      </c>
      <c r="F148">
        <v>0</v>
      </c>
      <c r="G148">
        <v>1.29999995231628</v>
      </c>
      <c r="H148">
        <v>0.21999999880790699</v>
      </c>
      <c r="I148">
        <v>2.4900000095367401</v>
      </c>
      <c r="J148">
        <v>9.9999997764825804E-3</v>
      </c>
      <c r="K148">
        <v>20</v>
      </c>
      <c r="L148">
        <v>7</v>
      </c>
      <c r="M148">
        <v>233</v>
      </c>
      <c r="N148">
        <v>1180</v>
      </c>
      <c r="O148">
        <v>1878</v>
      </c>
      <c r="P148" t="str">
        <f t="shared" si="13"/>
        <v>Valid</v>
      </c>
      <c r="Q148" t="str">
        <f t="shared" si="10"/>
        <v>weekdays</v>
      </c>
      <c r="R148" t="str" cm="1">
        <f t="array" ref="R148">_xlfn.IFS(
N148=MAX(K148,L148,M148,N148),"Sedentary",M148
=MAX(K148,L148,M148,N148),"Lightly Active",
L148=MAX(K148,L148,M148,N148),"Fairly Active",
K148=MAX(K148,L148,M148,N148),"Very Active"
)</f>
        <v>Sedentary</v>
      </c>
      <c r="S148" t="str">
        <f t="shared" si="11"/>
        <v>Sedentary</v>
      </c>
    </row>
    <row r="149" spans="1:19" x14ac:dyDescent="0.3">
      <c r="A149">
        <v>3372868164</v>
      </c>
      <c r="B149" s="1">
        <v>42465</v>
      </c>
      <c r="C149">
        <v>4460</v>
      </c>
      <c r="D149">
        <v>3.03999996185303</v>
      </c>
      <c r="E149">
        <v>3.03999996185303</v>
      </c>
      <c r="F149">
        <v>0</v>
      </c>
      <c r="G149">
        <v>0</v>
      </c>
      <c r="H149">
        <v>0</v>
      </c>
      <c r="I149">
        <v>3.0199999809265101</v>
      </c>
      <c r="J149">
        <v>2.9999999329447701E-2</v>
      </c>
      <c r="K149">
        <v>0</v>
      </c>
      <c r="L149">
        <v>0</v>
      </c>
      <c r="M149">
        <v>248</v>
      </c>
      <c r="N149">
        <v>1192</v>
      </c>
      <c r="O149">
        <v>1787</v>
      </c>
      <c r="P149" t="str">
        <f t="shared" si="13"/>
        <v>Valid</v>
      </c>
      <c r="Q149" t="str">
        <f t="shared" si="10"/>
        <v>weekdays</v>
      </c>
      <c r="R149" t="str" cm="1">
        <f t="array" ref="R149">_xlfn.IFS(
N149=MAX(K149,L149,M149,N149),"Sedentary",M149
=MAX(K149,L149,M149,N149),"Lightly Active",
L149=MAX(K149,L149,M149,N149),"Fairly Active",
K149=MAX(K149,L149,M149,N149),"Very Active"
)</f>
        <v>Sedentary</v>
      </c>
      <c r="S149" t="str">
        <f t="shared" si="11"/>
        <v>Sedentary</v>
      </c>
    </row>
    <row r="150" spans="1:19" x14ac:dyDescent="0.3">
      <c r="A150">
        <v>3372868164</v>
      </c>
      <c r="B150" s="1">
        <v>42466</v>
      </c>
      <c r="C150">
        <v>6406</v>
      </c>
      <c r="D150">
        <v>4.3899998664856001</v>
      </c>
      <c r="E150">
        <v>4.3899998664856001</v>
      </c>
      <c r="F150">
        <v>0</v>
      </c>
      <c r="G150">
        <v>0.77999997138977095</v>
      </c>
      <c r="H150">
        <v>9.00000035762787E-2</v>
      </c>
      <c r="I150">
        <v>3.5199999809265101</v>
      </c>
      <c r="J150">
        <v>9.9999997764825804E-3</v>
      </c>
      <c r="K150">
        <v>17</v>
      </c>
      <c r="L150">
        <v>4</v>
      </c>
      <c r="M150">
        <v>325</v>
      </c>
      <c r="N150">
        <v>1094</v>
      </c>
      <c r="O150">
        <v>2010</v>
      </c>
      <c r="P150" t="str">
        <f t="shared" si="13"/>
        <v>Valid</v>
      </c>
      <c r="Q150" t="str">
        <f t="shared" si="10"/>
        <v>weekdays</v>
      </c>
      <c r="R150" t="str" cm="1">
        <f t="array" ref="R150">_xlfn.IFS(
N150=MAX(K150,L150,M150,N150),"Sedentary",M150
=MAX(K150,L150,M150,N150),"Lightly Active",
L150=MAX(K150,L150,M150,N150),"Fairly Active",
K150=MAX(K150,L150,M150,N150),"Very Active"
)</f>
        <v>Sedentary</v>
      </c>
      <c r="S150" t="str">
        <f t="shared" si="11"/>
        <v>Sedentary</v>
      </c>
    </row>
    <row r="151" spans="1:19" x14ac:dyDescent="0.3">
      <c r="A151">
        <v>3372868164</v>
      </c>
      <c r="B151" s="1">
        <v>42467</v>
      </c>
      <c r="C151">
        <v>7392</v>
      </c>
      <c r="D151">
        <v>5.0999999046325701</v>
      </c>
      <c r="E151">
        <v>5.0999999046325701</v>
      </c>
      <c r="F151">
        <v>0</v>
      </c>
      <c r="G151">
        <v>0.87000000476837203</v>
      </c>
      <c r="H151">
        <v>0.15999999642372101</v>
      </c>
      <c r="I151">
        <v>4.0500001907348597</v>
      </c>
      <c r="J151">
        <v>1.9999999552965199E-2</v>
      </c>
      <c r="K151">
        <v>14</v>
      </c>
      <c r="L151">
        <v>9</v>
      </c>
      <c r="M151">
        <v>332</v>
      </c>
      <c r="N151">
        <v>1085</v>
      </c>
      <c r="O151">
        <v>2038</v>
      </c>
      <c r="P151" t="str">
        <f t="shared" si="13"/>
        <v>Valid</v>
      </c>
      <c r="Q151" t="str">
        <f t="shared" si="10"/>
        <v>weekdays</v>
      </c>
      <c r="R151" t="str" cm="1">
        <f t="array" ref="R151">_xlfn.IFS(
N151=MAX(K151,L151,M151,N151),"Sedentary",M151
=MAX(K151,L151,M151,N151),"Lightly Active",
L151=MAX(K151,L151,M151,N151),"Fairly Active",
K151=MAX(K151,L151,M151,N151),"Very Active"
)</f>
        <v>Sedentary</v>
      </c>
      <c r="S151" t="str">
        <f t="shared" si="11"/>
        <v>Sedentary</v>
      </c>
    </row>
    <row r="152" spans="1:19" x14ac:dyDescent="0.3">
      <c r="A152">
        <v>3372868164</v>
      </c>
      <c r="B152" s="1">
        <v>42468</v>
      </c>
      <c r="C152">
        <v>5551</v>
      </c>
      <c r="D152">
        <v>3.78999996185303</v>
      </c>
      <c r="E152">
        <v>3.78999996185303</v>
      </c>
      <c r="F152">
        <v>0</v>
      </c>
      <c r="G152">
        <v>0</v>
      </c>
      <c r="H152">
        <v>0</v>
      </c>
      <c r="I152">
        <v>3.7699999809265101</v>
      </c>
      <c r="J152">
        <v>9.9999997764825804E-3</v>
      </c>
      <c r="K152">
        <v>0</v>
      </c>
      <c r="L152">
        <v>0</v>
      </c>
      <c r="M152">
        <v>282</v>
      </c>
      <c r="N152">
        <v>1158</v>
      </c>
      <c r="O152">
        <v>1815</v>
      </c>
      <c r="P152" t="str">
        <f t="shared" si="13"/>
        <v>Valid</v>
      </c>
      <c r="Q152" t="str">
        <f t="shared" si="10"/>
        <v>weekdays</v>
      </c>
      <c r="R152" t="str" cm="1">
        <f t="array" ref="R152">_xlfn.IFS(
N152=MAX(K152,L152,M152,N152),"Sedentary",M152
=MAX(K152,L152,M152,N152),"Lightly Active",
L152=MAX(K152,L152,M152,N152),"Fairly Active",
K152=MAX(K152,L152,M152,N152),"Very Active"
)</f>
        <v>Sedentary</v>
      </c>
      <c r="S152" t="str">
        <f t="shared" si="11"/>
        <v>Sedentary</v>
      </c>
    </row>
    <row r="153" spans="1:19" x14ac:dyDescent="0.3">
      <c r="A153">
        <v>3372868164</v>
      </c>
      <c r="B153" s="1">
        <v>42469</v>
      </c>
      <c r="C153">
        <v>8827</v>
      </c>
      <c r="D153">
        <v>6.25</v>
      </c>
      <c r="E153">
        <v>6.25</v>
      </c>
      <c r="F153">
        <v>0</v>
      </c>
      <c r="G153">
        <v>1.7699999809265099</v>
      </c>
      <c r="H153">
        <v>0.479999989271164</v>
      </c>
      <c r="I153">
        <v>4</v>
      </c>
      <c r="J153">
        <v>9.9999997764825804E-3</v>
      </c>
      <c r="K153">
        <v>21</v>
      </c>
      <c r="L153">
        <v>10</v>
      </c>
      <c r="M153">
        <v>346</v>
      </c>
      <c r="N153">
        <v>1063</v>
      </c>
      <c r="O153">
        <v>2062</v>
      </c>
      <c r="P153" t="str">
        <f t="shared" si="13"/>
        <v>Valid</v>
      </c>
      <c r="Q153" t="str">
        <f t="shared" si="10"/>
        <v>weekends</v>
      </c>
      <c r="R153" t="str" cm="1">
        <f t="array" ref="R153">_xlfn.IFS(
N153=MAX(K153,L153,M153,N153),"Sedentary",M153
=MAX(K153,L153,M153,N153),"Lightly Active",
L153=MAX(K153,L153,M153,N153),"Fairly Active",
K153=MAX(K153,L153,M153,N153),"Very Active"
)</f>
        <v>Sedentary</v>
      </c>
      <c r="S153" t="str">
        <f t="shared" si="11"/>
        <v>Sedentary</v>
      </c>
    </row>
    <row r="154" spans="1:19" x14ac:dyDescent="0.3">
      <c r="A154">
        <v>3372868164</v>
      </c>
      <c r="B154" s="1">
        <v>42470</v>
      </c>
      <c r="C154">
        <v>4662</v>
      </c>
      <c r="D154">
        <v>3.1800000667571999</v>
      </c>
      <c r="E154">
        <v>3.1800000667571999</v>
      </c>
      <c r="F154">
        <v>0</v>
      </c>
      <c r="G154">
        <v>1.03999996185303</v>
      </c>
      <c r="H154">
        <v>0.15000000596046401</v>
      </c>
      <c r="I154">
        <v>1.9900000095367401</v>
      </c>
      <c r="J154">
        <v>0</v>
      </c>
      <c r="K154">
        <v>22</v>
      </c>
      <c r="L154">
        <v>4</v>
      </c>
      <c r="M154">
        <v>152</v>
      </c>
      <c r="N154">
        <v>735</v>
      </c>
      <c r="O154">
        <v>1276</v>
      </c>
      <c r="P154" t="str">
        <f t="shared" si="13"/>
        <v>Valid</v>
      </c>
      <c r="Q154" t="str">
        <f t="shared" si="10"/>
        <v>weekends</v>
      </c>
      <c r="R154" t="str" cm="1">
        <f t="array" ref="R154">_xlfn.IFS(
N154=MAX(K154,L154,M154,N154),"Sedentary",M154
=MAX(K154,L154,M154,N154),"Lightly Active",
L154=MAX(K154,L154,M154,N154),"Fairly Active",
K154=MAX(K154,L154,M154,N154),"Very Active"
)</f>
        <v>Sedentary</v>
      </c>
      <c r="S154" t="str">
        <f t="shared" si="11"/>
        <v>Sedentary</v>
      </c>
    </row>
    <row r="155" spans="1:19" x14ac:dyDescent="0.3">
      <c r="A155">
        <v>3977333714</v>
      </c>
      <c r="B155" s="1">
        <v>42461</v>
      </c>
      <c r="C155">
        <v>4499</v>
      </c>
      <c r="D155">
        <v>3.0099999904632599</v>
      </c>
      <c r="E155">
        <v>3.0099999904632599</v>
      </c>
      <c r="F155">
        <v>0</v>
      </c>
      <c r="G155">
        <v>0</v>
      </c>
      <c r="H155">
        <v>0</v>
      </c>
      <c r="I155">
        <v>3.0099999904632599</v>
      </c>
      <c r="J155">
        <v>0</v>
      </c>
      <c r="K155">
        <v>0</v>
      </c>
      <c r="L155">
        <v>0</v>
      </c>
      <c r="M155">
        <v>168</v>
      </c>
      <c r="N155">
        <v>842</v>
      </c>
      <c r="O155">
        <v>1288</v>
      </c>
      <c r="P155" t="str">
        <f t="shared" si="13"/>
        <v>Valid</v>
      </c>
      <c r="Q155" t="str">
        <f t="shared" si="10"/>
        <v>weekdays</v>
      </c>
      <c r="R155" t="str" cm="1">
        <f t="array" ref="R155">_xlfn.IFS(
N155=MAX(K155,L155,M155,N155),"Sedentary",M155
=MAX(K155,L155,M155,N155),"Lightly Active",
L155=MAX(K155,L155,M155,N155),"Fairly Active",
K155=MAX(K155,L155,M155,N155),"Very Active"
)</f>
        <v>Sedentary</v>
      </c>
      <c r="S155" t="str">
        <f t="shared" si="11"/>
        <v>Sedentary</v>
      </c>
    </row>
    <row r="156" spans="1:19" x14ac:dyDescent="0.3">
      <c r="A156">
        <v>3977333714</v>
      </c>
      <c r="B156" s="1">
        <v>42462</v>
      </c>
      <c r="C156">
        <v>7618</v>
      </c>
      <c r="D156">
        <v>5.0999999046325701</v>
      </c>
      <c r="E156">
        <v>5.0999999046325701</v>
      </c>
      <c r="F156">
        <v>0</v>
      </c>
      <c r="G156">
        <v>0</v>
      </c>
      <c r="H156">
        <v>0.18000000715255701</v>
      </c>
      <c r="I156">
        <v>4.9099998474121103</v>
      </c>
      <c r="J156">
        <v>0</v>
      </c>
      <c r="K156">
        <v>0</v>
      </c>
      <c r="L156">
        <v>6</v>
      </c>
      <c r="M156">
        <v>302</v>
      </c>
      <c r="N156">
        <v>842</v>
      </c>
      <c r="O156">
        <v>1490</v>
      </c>
      <c r="P156" t="str">
        <f t="shared" si="13"/>
        <v>Valid</v>
      </c>
      <c r="Q156" t="str">
        <f t="shared" si="10"/>
        <v>weekends</v>
      </c>
      <c r="R156" t="str" cm="1">
        <f t="array" ref="R156">_xlfn.IFS(
N156=MAX(K156,L156,M156,N156),"Sedentary",M156
=MAX(K156,L156,M156,N156),"Lightly Active",
L156=MAX(K156,L156,M156,N156),"Fairly Active",
K156=MAX(K156,L156,M156,N156),"Very Active"
)</f>
        <v>Sedentary</v>
      </c>
      <c r="S156" t="str">
        <f t="shared" si="11"/>
        <v>Sedentary</v>
      </c>
    </row>
    <row r="157" spans="1:19" x14ac:dyDescent="0.3">
      <c r="A157">
        <v>3977333714</v>
      </c>
      <c r="B157" s="1">
        <v>42463</v>
      </c>
      <c r="C157">
        <v>11508</v>
      </c>
      <c r="D157">
        <v>7.6999998092651403</v>
      </c>
      <c r="E157">
        <v>7.6999998092651403</v>
      </c>
      <c r="F157">
        <v>0</v>
      </c>
      <c r="G157">
        <v>2.1700000762939502</v>
      </c>
      <c r="H157">
        <v>0.83999997377395597</v>
      </c>
      <c r="I157">
        <v>4.6900000572204599</v>
      </c>
      <c r="J157">
        <v>0</v>
      </c>
      <c r="K157">
        <v>29</v>
      </c>
      <c r="L157">
        <v>22</v>
      </c>
      <c r="M157">
        <v>282</v>
      </c>
      <c r="N157">
        <v>748</v>
      </c>
      <c r="O157">
        <v>1630</v>
      </c>
      <c r="P157" t="str">
        <f t="shared" si="13"/>
        <v>Valid</v>
      </c>
      <c r="Q157" t="str">
        <f t="shared" si="10"/>
        <v>weekends</v>
      </c>
      <c r="R157" t="str" cm="1">
        <f t="array" ref="R157">_xlfn.IFS(
N157=MAX(K157,L157,M157,N157),"Sedentary",M157
=MAX(K157,L157,M157,N157),"Lightly Active",
L157=MAX(K157,L157,M157,N157),"Fairly Active",
K157=MAX(K157,L157,M157,N157),"Very Active"
)</f>
        <v>Sedentary</v>
      </c>
      <c r="S157" t="str">
        <f t="shared" si="11"/>
        <v>Sedentary</v>
      </c>
    </row>
    <row r="158" spans="1:19" x14ac:dyDescent="0.3">
      <c r="A158">
        <v>3977333714</v>
      </c>
      <c r="B158" s="1">
        <v>42464</v>
      </c>
      <c r="C158">
        <v>11943</v>
      </c>
      <c r="D158">
        <v>7.9899997711181596</v>
      </c>
      <c r="E158">
        <v>7.9899997711181596</v>
      </c>
      <c r="F158">
        <v>0</v>
      </c>
      <c r="G158">
        <v>1.0299999713897701</v>
      </c>
      <c r="H158">
        <v>2.0099999904632599</v>
      </c>
      <c r="I158">
        <v>4.9499998092651403</v>
      </c>
      <c r="J158">
        <v>0</v>
      </c>
      <c r="K158">
        <v>16</v>
      </c>
      <c r="L158">
        <v>43</v>
      </c>
      <c r="M158">
        <v>297</v>
      </c>
      <c r="N158">
        <v>710</v>
      </c>
      <c r="O158">
        <v>1648</v>
      </c>
      <c r="P158" t="str">
        <f t="shared" si="13"/>
        <v>Valid</v>
      </c>
      <c r="Q158" t="str">
        <f t="shared" si="10"/>
        <v>weekdays</v>
      </c>
      <c r="R158" t="str" cm="1">
        <f t="array" ref="R158">_xlfn.IFS(
N158=MAX(K158,L158,M158,N158),"Sedentary",M158
=MAX(K158,L158,M158,N158),"Lightly Active",
L158=MAX(K158,L158,M158,N158),"Fairly Active",
K158=MAX(K158,L158,M158,N158),"Very Active"
)</f>
        <v>Sedentary</v>
      </c>
      <c r="S158" t="str">
        <f t="shared" si="11"/>
        <v>Sedentary</v>
      </c>
    </row>
    <row r="159" spans="1:19" x14ac:dyDescent="0.3">
      <c r="A159">
        <v>3977333714</v>
      </c>
      <c r="B159" s="1">
        <v>42465</v>
      </c>
      <c r="C159">
        <v>12303</v>
      </c>
      <c r="D159">
        <v>8.2299995422363299</v>
      </c>
      <c r="E159">
        <v>8.2299995422363299</v>
      </c>
      <c r="F159">
        <v>0</v>
      </c>
      <c r="G159">
        <v>1.71000003814697</v>
      </c>
      <c r="H159">
        <v>1.3500000238418599</v>
      </c>
      <c r="I159">
        <v>5.1700000762939498</v>
      </c>
      <c r="J159">
        <v>0</v>
      </c>
      <c r="K159">
        <v>26</v>
      </c>
      <c r="L159">
        <v>32</v>
      </c>
      <c r="M159">
        <v>291</v>
      </c>
      <c r="N159">
        <v>605</v>
      </c>
      <c r="O159">
        <v>1649</v>
      </c>
      <c r="P159" t="str">
        <f t="shared" si="13"/>
        <v>Valid</v>
      </c>
      <c r="Q159" t="str">
        <f t="shared" si="10"/>
        <v>weekdays</v>
      </c>
      <c r="R159" t="str" cm="1">
        <f t="array" ref="R159">_xlfn.IFS(
N159=MAX(K159,L159,M159,N159),"Sedentary",M159
=MAX(K159,L159,M159,N159),"Lightly Active",
L159=MAX(K159,L159,M159,N159),"Fairly Active",
K159=MAX(K159,L159,M159,N159),"Very Active"
)</f>
        <v>Sedentary</v>
      </c>
      <c r="S159" t="str">
        <f t="shared" si="11"/>
        <v>Sedentary</v>
      </c>
    </row>
    <row r="160" spans="1:19" x14ac:dyDescent="0.3">
      <c r="A160">
        <v>3977333714</v>
      </c>
      <c r="B160" s="1">
        <v>42466</v>
      </c>
      <c r="C160">
        <v>15425</v>
      </c>
      <c r="D160">
        <v>10.319999694824199</v>
      </c>
      <c r="E160">
        <v>10.319999694824199</v>
      </c>
      <c r="F160">
        <v>0</v>
      </c>
      <c r="G160">
        <v>1.62000000476837</v>
      </c>
      <c r="H160">
        <v>1.8200000524520901</v>
      </c>
      <c r="I160">
        <v>6.8699998855590803</v>
      </c>
      <c r="J160">
        <v>0</v>
      </c>
      <c r="K160">
        <v>24</v>
      </c>
      <c r="L160">
        <v>45</v>
      </c>
      <c r="M160">
        <v>331</v>
      </c>
      <c r="N160">
        <v>614</v>
      </c>
      <c r="O160">
        <v>1783</v>
      </c>
      <c r="P160" t="str">
        <f t="shared" si="13"/>
        <v>Valid</v>
      </c>
      <c r="Q160" t="str">
        <f t="shared" si="10"/>
        <v>weekdays</v>
      </c>
      <c r="R160" t="str" cm="1">
        <f t="array" ref="R160">_xlfn.IFS(
N160=MAX(K160,L160,M160,N160),"Sedentary",M160
=MAX(K160,L160,M160,N160),"Lightly Active",
L160=MAX(K160,L160,M160,N160),"Fairly Active",
K160=MAX(K160,L160,M160,N160),"Very Active"
)</f>
        <v>Sedentary</v>
      </c>
      <c r="S160" t="str">
        <f t="shared" si="11"/>
        <v>Sedentary</v>
      </c>
    </row>
    <row r="161" spans="1:19" x14ac:dyDescent="0.3">
      <c r="A161">
        <v>3977333714</v>
      </c>
      <c r="B161" s="1">
        <v>42467</v>
      </c>
      <c r="C161">
        <v>8422</v>
      </c>
      <c r="D161">
        <v>5.6300001144409197</v>
      </c>
      <c r="E161">
        <v>5.6300001144409197</v>
      </c>
      <c r="F161">
        <v>0</v>
      </c>
      <c r="G161">
        <v>0</v>
      </c>
      <c r="H161">
        <v>3.5999999046325701</v>
      </c>
      <c r="I161">
        <v>2.03999996185303</v>
      </c>
      <c r="J161">
        <v>0</v>
      </c>
      <c r="K161">
        <v>0</v>
      </c>
      <c r="L161">
        <v>81</v>
      </c>
      <c r="M161">
        <v>139</v>
      </c>
      <c r="N161">
        <v>815</v>
      </c>
      <c r="O161">
        <v>1431</v>
      </c>
      <c r="P161" t="str">
        <f t="shared" si="13"/>
        <v>Valid</v>
      </c>
      <c r="Q161" t="str">
        <f t="shared" si="10"/>
        <v>weekdays</v>
      </c>
      <c r="R161" t="str" cm="1">
        <f t="array" ref="R161">_xlfn.IFS(
N161=MAX(K161,L161,M161,N161),"Sedentary",M161
=MAX(K161,L161,M161,N161),"Lightly Active",
L161=MAX(K161,L161,M161,N161),"Fairly Active",
K161=MAX(K161,L161,M161,N161),"Very Active"
)</f>
        <v>Sedentary</v>
      </c>
      <c r="S161" t="str">
        <f t="shared" si="11"/>
        <v>Sedentary</v>
      </c>
    </row>
    <row r="162" spans="1:19" x14ac:dyDescent="0.3">
      <c r="A162">
        <v>3977333714</v>
      </c>
      <c r="B162" s="1">
        <v>42468</v>
      </c>
      <c r="C162">
        <v>10226</v>
      </c>
      <c r="D162">
        <v>6.8400001525878897</v>
      </c>
      <c r="E162">
        <v>6.8400001525878897</v>
      </c>
      <c r="F162">
        <v>0</v>
      </c>
      <c r="G162">
        <v>0</v>
      </c>
      <c r="H162">
        <v>4.4400000572204599</v>
      </c>
      <c r="I162">
        <v>2.4000000953674299</v>
      </c>
      <c r="J162">
        <v>0</v>
      </c>
      <c r="K162">
        <v>0</v>
      </c>
      <c r="L162">
        <v>101</v>
      </c>
      <c r="M162">
        <v>174</v>
      </c>
      <c r="N162">
        <v>685</v>
      </c>
      <c r="O162">
        <v>1524</v>
      </c>
      <c r="P162" t="str">
        <f t="shared" si="13"/>
        <v>Valid</v>
      </c>
      <c r="Q162" t="str">
        <f t="shared" si="10"/>
        <v>weekdays</v>
      </c>
      <c r="R162" t="str" cm="1">
        <f t="array" ref="R162">_xlfn.IFS(
N162=MAX(K162,L162,M162,N162),"Sedentary",M162
=MAX(K162,L162,M162,N162),"Lightly Active",
L162=MAX(K162,L162,M162,N162),"Fairly Active",
K162=MAX(K162,L162,M162,N162),"Very Active"
)</f>
        <v>Sedentary</v>
      </c>
      <c r="S162" t="str">
        <f t="shared" si="11"/>
        <v>Sedentary</v>
      </c>
    </row>
    <row r="163" spans="1:19" x14ac:dyDescent="0.3">
      <c r="A163">
        <v>3977333714</v>
      </c>
      <c r="B163" s="1">
        <v>42469</v>
      </c>
      <c r="C163">
        <v>14583</v>
      </c>
      <c r="D163">
        <v>9.7600002288818395</v>
      </c>
      <c r="E163">
        <v>9.7600002288818395</v>
      </c>
      <c r="F163">
        <v>0</v>
      </c>
      <c r="G163">
        <v>2.4800000190734899</v>
      </c>
      <c r="H163">
        <v>1.7400000095367401</v>
      </c>
      <c r="I163">
        <v>5.5300002098083496</v>
      </c>
      <c r="J163">
        <v>0</v>
      </c>
      <c r="K163">
        <v>35</v>
      </c>
      <c r="L163">
        <v>36</v>
      </c>
      <c r="M163">
        <v>254</v>
      </c>
      <c r="N163">
        <v>697</v>
      </c>
      <c r="O163">
        <v>1697</v>
      </c>
      <c r="P163" t="str">
        <f t="shared" si="13"/>
        <v>Valid</v>
      </c>
      <c r="Q163" t="str">
        <f t="shared" si="10"/>
        <v>weekends</v>
      </c>
      <c r="R163" t="str" cm="1">
        <f t="array" ref="R163">_xlfn.IFS(
N163=MAX(K163,L163,M163,N163),"Sedentary",M163
=MAX(K163,L163,M163,N163),"Lightly Active",
L163=MAX(K163,L163,M163,N163),"Fairly Active",
K163=MAX(K163,L163,M163,N163),"Very Active"
)</f>
        <v>Sedentary</v>
      </c>
      <c r="S163" t="str">
        <f t="shared" si="11"/>
        <v>Sedentary</v>
      </c>
    </row>
    <row r="164" spans="1:19" x14ac:dyDescent="0.3">
      <c r="A164">
        <v>3977333714</v>
      </c>
      <c r="B164" s="1">
        <v>42470</v>
      </c>
      <c r="C164">
        <v>3573</v>
      </c>
      <c r="D164">
        <v>2.3900001049041699</v>
      </c>
      <c r="E164">
        <v>2.3900001049041699</v>
      </c>
      <c r="F164">
        <v>0</v>
      </c>
      <c r="G164">
        <v>0.93999999761581399</v>
      </c>
      <c r="H164">
        <v>0.40999999642372098</v>
      </c>
      <c r="I164">
        <v>0.97000002861022905</v>
      </c>
      <c r="J164">
        <v>0</v>
      </c>
      <c r="K164">
        <v>15</v>
      </c>
      <c r="L164">
        <v>8</v>
      </c>
      <c r="M164">
        <v>99</v>
      </c>
      <c r="N164">
        <v>866</v>
      </c>
      <c r="O164">
        <v>1232</v>
      </c>
      <c r="P164" t="str">
        <f t="shared" si="13"/>
        <v>Valid</v>
      </c>
      <c r="Q164" t="str">
        <f t="shared" si="10"/>
        <v>weekends</v>
      </c>
      <c r="R164" t="str" cm="1">
        <f t="array" ref="R164">_xlfn.IFS(
N164=MAX(K164,L164,M164,N164),"Sedentary",M164
=MAX(K164,L164,M164,N164),"Lightly Active",
L164=MAX(K164,L164,M164,N164),"Fairly Active",
K164=MAX(K164,L164,M164,N164),"Very Active"
)</f>
        <v>Sedentary</v>
      </c>
      <c r="S164" t="str">
        <f t="shared" si="11"/>
        <v>Sedentary</v>
      </c>
    </row>
    <row r="165" spans="1:19" x14ac:dyDescent="0.3">
      <c r="A165">
        <v>3977333714</v>
      </c>
      <c r="B165" s="1">
        <v>42471</v>
      </c>
      <c r="C165">
        <v>3108</v>
      </c>
      <c r="D165">
        <v>2.1400001049041699</v>
      </c>
      <c r="E165">
        <v>2.1400001049041699</v>
      </c>
      <c r="F165">
        <v>0</v>
      </c>
      <c r="G165">
        <v>7.0000000298023196E-2</v>
      </c>
      <c r="H165">
        <v>3.9999999105930301E-2</v>
      </c>
      <c r="I165">
        <v>1.96000003814697</v>
      </c>
      <c r="J165">
        <v>0</v>
      </c>
      <c r="K165">
        <v>1</v>
      </c>
      <c r="L165">
        <v>1</v>
      </c>
      <c r="M165">
        <v>129</v>
      </c>
      <c r="N165">
        <v>894</v>
      </c>
      <c r="O165">
        <v>1223</v>
      </c>
      <c r="P165" t="str">
        <f t="shared" si="13"/>
        <v>Valid</v>
      </c>
      <c r="Q165" t="str">
        <f t="shared" si="10"/>
        <v>weekdays</v>
      </c>
      <c r="R165" t="str" cm="1">
        <f t="array" ref="R165">_xlfn.IFS(
N165=MAX(K165,L165,M165,N165),"Sedentary",M165
=MAX(K165,L165,M165,N165),"Lightly Active",
L165=MAX(K165,L165,M165,N165),"Fairly Active",
K165=MAX(K165,L165,M165,N165),"Very Active"
)</f>
        <v>Sedentary</v>
      </c>
      <c r="S165" t="str">
        <f t="shared" si="11"/>
        <v>Sedentary</v>
      </c>
    </row>
    <row r="166" spans="1:19" x14ac:dyDescent="0.3">
      <c r="A166">
        <v>3977333714</v>
      </c>
      <c r="B166" s="1">
        <v>42472</v>
      </c>
      <c r="C166">
        <v>759</v>
      </c>
      <c r="D166">
        <v>0.56999999284744296</v>
      </c>
      <c r="E166">
        <v>0.56999999284744296</v>
      </c>
      <c r="F166">
        <v>0</v>
      </c>
      <c r="G166">
        <v>0</v>
      </c>
      <c r="H166">
        <v>0</v>
      </c>
      <c r="I166">
        <v>0.56999999284744296</v>
      </c>
      <c r="J166">
        <v>0</v>
      </c>
      <c r="K166">
        <v>0</v>
      </c>
      <c r="L166">
        <v>0</v>
      </c>
      <c r="M166">
        <v>17</v>
      </c>
      <c r="N166">
        <v>187</v>
      </c>
      <c r="O166">
        <v>182</v>
      </c>
      <c r="P166" t="str">
        <f t="shared" si="13"/>
        <v>Valid</v>
      </c>
      <c r="Q166" t="str">
        <f t="shared" si="10"/>
        <v>weekdays</v>
      </c>
      <c r="R166" t="str" cm="1">
        <f t="array" ref="R166">_xlfn.IFS(
N166=MAX(K166,L166,M166,N166),"Sedentary",M166
=MAX(K166,L166,M166,N166),"Lightly Active",
L166=MAX(K166,L166,M166,N166),"Fairly Active",
K166=MAX(K166,L166,M166,N166),"Very Active"
)</f>
        <v>Sedentary</v>
      </c>
      <c r="S166" t="str">
        <f t="shared" si="11"/>
        <v>Sedentary</v>
      </c>
    </row>
    <row r="167" spans="1:19" x14ac:dyDescent="0.3">
      <c r="A167">
        <v>4020332650</v>
      </c>
      <c r="B167" s="1">
        <v>42441</v>
      </c>
      <c r="C167">
        <v>5543</v>
      </c>
      <c r="D167">
        <v>3.9700000286102299</v>
      </c>
      <c r="E167">
        <v>3.9700000286102299</v>
      </c>
      <c r="F167">
        <v>0</v>
      </c>
      <c r="G167">
        <v>0</v>
      </c>
      <c r="H167">
        <v>0</v>
      </c>
      <c r="I167">
        <v>3.96000003814697</v>
      </c>
      <c r="J167">
        <v>9.9999997764825804E-3</v>
      </c>
      <c r="K167">
        <v>0</v>
      </c>
      <c r="L167">
        <v>0</v>
      </c>
      <c r="M167">
        <v>254</v>
      </c>
      <c r="N167">
        <v>757</v>
      </c>
      <c r="O167">
        <v>2990</v>
      </c>
      <c r="P167" t="str">
        <f t="shared" si="13"/>
        <v>Valid</v>
      </c>
      <c r="Q167" t="str">
        <f t="shared" si="10"/>
        <v>weekends</v>
      </c>
      <c r="R167" t="str" cm="1">
        <f t="array" ref="R167">_xlfn.IFS(
N167=MAX(K167,L167,M167,N167),"Sedentary",M167
=MAX(K167,L167,M167,N167),"Lightly Active",
L167=MAX(K167,L167,M167,N167),"Fairly Active",
K167=MAX(K167,L167,M167,N167),"Very Active"
)</f>
        <v>Sedentary</v>
      </c>
      <c r="S167" t="str">
        <f t="shared" si="11"/>
        <v>Sedentary</v>
      </c>
    </row>
    <row r="168" spans="1:19" x14ac:dyDescent="0.3">
      <c r="A168">
        <v>4020332650</v>
      </c>
      <c r="B168" s="1">
        <v>42442</v>
      </c>
      <c r="C168">
        <v>3226</v>
      </c>
      <c r="D168">
        <v>2.3099999427795401</v>
      </c>
      <c r="E168">
        <v>2.3099999427795401</v>
      </c>
      <c r="F168">
        <v>0</v>
      </c>
      <c r="G168">
        <v>0</v>
      </c>
      <c r="H168">
        <v>0</v>
      </c>
      <c r="I168">
        <v>2.2799999713897701</v>
      </c>
      <c r="J168">
        <v>0</v>
      </c>
      <c r="K168">
        <v>0</v>
      </c>
      <c r="L168">
        <v>0</v>
      </c>
      <c r="M168">
        <v>136</v>
      </c>
      <c r="N168">
        <v>771</v>
      </c>
      <c r="O168">
        <v>2480</v>
      </c>
      <c r="P168" t="str">
        <f t="shared" si="13"/>
        <v>Valid</v>
      </c>
      <c r="Q168" t="str">
        <f t="shared" si="10"/>
        <v>weekends</v>
      </c>
      <c r="R168" t="str" cm="1">
        <f t="array" ref="R168">_xlfn.IFS(
N168=MAX(K168,L168,M168,N168),"Sedentary",M168
=MAX(K168,L168,M168,N168),"Lightly Active",
L168=MAX(K168,L168,M168,N168),"Fairly Active",
K168=MAX(K168,L168,M168,N168),"Very Active"
)</f>
        <v>Sedentary</v>
      </c>
      <c r="S168" t="str">
        <f t="shared" si="11"/>
        <v>Sedentary</v>
      </c>
    </row>
    <row r="169" spans="1:19" x14ac:dyDescent="0.3">
      <c r="A169">
        <v>4020332650</v>
      </c>
      <c r="B169" s="1">
        <v>42443</v>
      </c>
      <c r="C169">
        <v>3023</v>
      </c>
      <c r="D169">
        <v>2.1700000762939502</v>
      </c>
      <c r="E169">
        <v>2.1700000762939502</v>
      </c>
      <c r="F169">
        <v>0</v>
      </c>
      <c r="G169">
        <v>0</v>
      </c>
      <c r="H169">
        <v>0</v>
      </c>
      <c r="I169">
        <v>2.1400001049041699</v>
      </c>
      <c r="J169">
        <v>0</v>
      </c>
      <c r="K169">
        <v>0</v>
      </c>
      <c r="L169">
        <v>0</v>
      </c>
      <c r="M169">
        <v>145</v>
      </c>
      <c r="N169">
        <v>1005</v>
      </c>
      <c r="O169">
        <v>2570</v>
      </c>
      <c r="P169" t="str">
        <f t="shared" si="13"/>
        <v>Valid</v>
      </c>
      <c r="Q169" t="str">
        <f t="shared" si="10"/>
        <v>weekdays</v>
      </c>
      <c r="R169" t="str" cm="1">
        <f t="array" ref="R169">_xlfn.IFS(
N169=MAX(K169,L169,M169,N169),"Sedentary",M169
=MAX(K169,L169,M169,N169),"Lightly Active",
L169=MAX(K169,L169,M169,N169),"Fairly Active",
K169=MAX(K169,L169,M169,N169),"Very Active"
)</f>
        <v>Sedentary</v>
      </c>
      <c r="S169" t="str">
        <f t="shared" si="11"/>
        <v>Sedentary</v>
      </c>
    </row>
    <row r="170" spans="1:19" x14ac:dyDescent="0.3">
      <c r="A170">
        <v>4020332650</v>
      </c>
      <c r="B170" s="1">
        <v>42444</v>
      </c>
      <c r="C170">
        <v>5906</v>
      </c>
      <c r="D170">
        <v>4.2300000190734899</v>
      </c>
      <c r="E170">
        <v>4.2300000190734899</v>
      </c>
      <c r="F170">
        <v>0</v>
      </c>
      <c r="G170">
        <v>0</v>
      </c>
      <c r="H170">
        <v>0.15999999642372101</v>
      </c>
      <c r="I170">
        <v>4.03999996185303</v>
      </c>
      <c r="J170">
        <v>0</v>
      </c>
      <c r="K170">
        <v>0</v>
      </c>
      <c r="L170">
        <v>10</v>
      </c>
      <c r="M170">
        <v>215</v>
      </c>
      <c r="N170">
        <v>874</v>
      </c>
      <c r="O170">
        <v>3016</v>
      </c>
      <c r="P170" t="str">
        <f t="shared" si="13"/>
        <v>Valid</v>
      </c>
      <c r="Q170" t="str">
        <f t="shared" si="10"/>
        <v>weekdays</v>
      </c>
      <c r="R170" t="str" cm="1">
        <f t="array" ref="R170">_xlfn.IFS(
N170=MAX(K170,L170,M170,N170),"Sedentary",M170
=MAX(K170,L170,M170,N170),"Lightly Active",
L170=MAX(K170,L170,M170,N170),"Fairly Active",
K170=MAX(K170,L170,M170,N170),"Very Active"
)</f>
        <v>Sedentary</v>
      </c>
      <c r="S170" t="str">
        <f t="shared" si="11"/>
        <v>Sedentary</v>
      </c>
    </row>
    <row r="171" spans="1:19" x14ac:dyDescent="0.3">
      <c r="A171">
        <v>4020332650</v>
      </c>
      <c r="B171" s="1">
        <v>42445</v>
      </c>
      <c r="C171">
        <v>12483</v>
      </c>
      <c r="D171">
        <v>8.9899997711181605</v>
      </c>
      <c r="E171">
        <v>8.9899997711181605</v>
      </c>
      <c r="F171">
        <v>0</v>
      </c>
      <c r="G171">
        <v>1.45000004768372</v>
      </c>
      <c r="H171">
        <v>0.56999999284744296</v>
      </c>
      <c r="I171">
        <v>6.9000000953674299</v>
      </c>
      <c r="J171">
        <v>0</v>
      </c>
      <c r="K171">
        <v>25</v>
      </c>
      <c r="L171">
        <v>14</v>
      </c>
      <c r="M171">
        <v>309</v>
      </c>
      <c r="N171">
        <v>599</v>
      </c>
      <c r="O171">
        <v>3830</v>
      </c>
      <c r="P171" t="str">
        <f t="shared" si="13"/>
        <v>Valid</v>
      </c>
      <c r="Q171" t="str">
        <f t="shared" si="10"/>
        <v>weekdays</v>
      </c>
      <c r="R171" t="str" cm="1">
        <f t="array" ref="R171">_xlfn.IFS(
N171=MAX(K171,L171,M171,N171),"Sedentary",M171
=MAX(K171,L171,M171,N171),"Lightly Active",
L171=MAX(K171,L171,M171,N171),"Fairly Active",
K171=MAX(K171,L171,M171,N171),"Very Active"
)</f>
        <v>Sedentary</v>
      </c>
      <c r="S171" t="str">
        <f t="shared" si="11"/>
        <v>Sedentary</v>
      </c>
    </row>
    <row r="172" spans="1:19" x14ac:dyDescent="0.3">
      <c r="A172">
        <v>4020332650</v>
      </c>
      <c r="B172" s="1">
        <v>42446</v>
      </c>
      <c r="C172">
        <v>8940</v>
      </c>
      <c r="D172">
        <v>6.4099998474121103</v>
      </c>
      <c r="E172">
        <v>6.4099998474121103</v>
      </c>
      <c r="F172">
        <v>0</v>
      </c>
      <c r="G172">
        <v>0</v>
      </c>
      <c r="H172">
        <v>0</v>
      </c>
      <c r="I172">
        <v>0.61000001430511497</v>
      </c>
      <c r="J172">
        <v>3.9999999105930301E-2</v>
      </c>
      <c r="K172">
        <v>0</v>
      </c>
      <c r="L172">
        <v>0</v>
      </c>
      <c r="M172">
        <v>47</v>
      </c>
      <c r="N172">
        <v>986</v>
      </c>
      <c r="O172">
        <v>3706</v>
      </c>
      <c r="P172" t="str">
        <f t="shared" si="13"/>
        <v>Valid</v>
      </c>
      <c r="Q172" t="str">
        <f t="shared" si="10"/>
        <v>weekdays</v>
      </c>
      <c r="R172" t="str" cm="1">
        <f t="array" ref="R172">_xlfn.IFS(
N172=MAX(K172,L172,M172,N172),"Sedentary",M172
=MAX(K172,L172,M172,N172),"Lightly Active",
L172=MAX(K172,L172,M172,N172),"Fairly Active",
K172=MAX(K172,L172,M172,N172),"Very Active"
)</f>
        <v>Sedentary</v>
      </c>
      <c r="S172" t="str">
        <f t="shared" si="11"/>
        <v>Sedentary</v>
      </c>
    </row>
    <row r="173" spans="1:19" x14ac:dyDescent="0.3">
      <c r="A173">
        <v>4020332650</v>
      </c>
      <c r="B173" s="1">
        <v>42447</v>
      </c>
      <c r="C173">
        <v>368</v>
      </c>
      <c r="D173">
        <v>0.259999990463257</v>
      </c>
      <c r="E173">
        <v>0.259999990463257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1440</v>
      </c>
      <c r="O173">
        <v>2024</v>
      </c>
      <c r="P173" t="str">
        <f t="shared" si="13"/>
        <v>Valid</v>
      </c>
      <c r="Q173" t="str">
        <f t="shared" si="10"/>
        <v>weekdays</v>
      </c>
      <c r="R173" t="str" cm="1">
        <f t="array" ref="R173">_xlfn.IFS(
N173=MAX(K173,L173,M173,N173),"Sedentary",M173
=MAX(K173,L173,M173,N173),"Lightly Active",
L173=MAX(K173,L173,M173,N173),"Fairly Active",
K173=MAX(K173,L173,M173,N173),"Very Active"
)</f>
        <v>Sedentary</v>
      </c>
      <c r="S173" t="str">
        <f t="shared" si="11"/>
        <v>Sedentary</v>
      </c>
    </row>
    <row r="174" spans="1:19" x14ac:dyDescent="0.3">
      <c r="A174">
        <v>4020332650</v>
      </c>
      <c r="B174" s="1">
        <v>42448</v>
      </c>
      <c r="C174">
        <v>5702</v>
      </c>
      <c r="D174">
        <v>4.0900001525878897</v>
      </c>
      <c r="E174">
        <v>4.0900001525878897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1440</v>
      </c>
      <c r="O174">
        <v>2980</v>
      </c>
      <c r="P174" t="str">
        <f t="shared" si="13"/>
        <v>Valid</v>
      </c>
      <c r="Q174" t="str">
        <f t="shared" si="10"/>
        <v>weekends</v>
      </c>
      <c r="R174" t="str" cm="1">
        <f t="array" ref="R174">_xlfn.IFS(
N174=MAX(K174,L174,M174,N174),"Sedentary",M174
=MAX(K174,L174,M174,N174),"Lightly Active",
L174=MAX(K174,L174,M174,N174),"Fairly Active",
K174=MAX(K174,L174,M174,N174),"Very Active"
)</f>
        <v>Sedentary</v>
      </c>
      <c r="S174" t="str">
        <f t="shared" si="11"/>
        <v>Sedentary</v>
      </c>
    </row>
    <row r="175" spans="1:19" x14ac:dyDescent="0.3">
      <c r="A175">
        <v>4020332650</v>
      </c>
      <c r="B175" s="1">
        <v>42449</v>
      </c>
      <c r="C175">
        <v>10330</v>
      </c>
      <c r="D175">
        <v>7.4099998474121103</v>
      </c>
      <c r="E175">
        <v>7.4099998474121103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1440</v>
      </c>
      <c r="O175">
        <v>3728</v>
      </c>
      <c r="P175" t="str">
        <f t="shared" si="13"/>
        <v>Valid</v>
      </c>
      <c r="Q175" t="str">
        <f t="shared" si="10"/>
        <v>weekends</v>
      </c>
      <c r="R175" t="str" cm="1">
        <f t="array" ref="R175">_xlfn.IFS(
N175=MAX(K175,L175,M175,N175),"Sedentary",M175
=MAX(K175,L175,M175,N175),"Lightly Active",
L175=MAX(K175,L175,M175,N175),"Fairly Active",
K175=MAX(K175,L175,M175,N175),"Very Active"
)</f>
        <v>Sedentary</v>
      </c>
      <c r="S175" t="str">
        <f t="shared" si="11"/>
        <v>Sedentary</v>
      </c>
    </row>
    <row r="176" spans="1:19" x14ac:dyDescent="0.3">
      <c r="A176">
        <v>4020332650</v>
      </c>
      <c r="B176" s="1">
        <v>42450</v>
      </c>
      <c r="C176">
        <v>8778</v>
      </c>
      <c r="D176">
        <v>6.28999996185303</v>
      </c>
      <c r="E176">
        <v>6.28999996185303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1440</v>
      </c>
      <c r="O176">
        <v>3348</v>
      </c>
      <c r="P176" t="str">
        <f t="shared" si="13"/>
        <v>Valid</v>
      </c>
      <c r="Q176" t="str">
        <f t="shared" si="10"/>
        <v>weekdays</v>
      </c>
      <c r="R176" t="str" cm="1">
        <f t="array" ref="R176">_xlfn.IFS(
N176=MAX(K176,L176,M176,N176),"Sedentary",M176
=MAX(K176,L176,M176,N176),"Lightly Active",
L176=MAX(K176,L176,M176,N176),"Fairly Active",
K176=MAX(K176,L176,M176,N176),"Very Active"
)</f>
        <v>Sedentary</v>
      </c>
      <c r="S176" t="str">
        <f t="shared" si="11"/>
        <v>Sedentary</v>
      </c>
    </row>
    <row r="177" spans="1:19" x14ac:dyDescent="0.3">
      <c r="A177">
        <v>4020332650</v>
      </c>
      <c r="B177" s="1">
        <v>42451</v>
      </c>
      <c r="C177">
        <v>6662</v>
      </c>
      <c r="D177">
        <v>4.7800002098083496</v>
      </c>
      <c r="E177">
        <v>4.7800002098083496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1440</v>
      </c>
      <c r="O177">
        <v>3162</v>
      </c>
      <c r="P177" t="str">
        <f t="shared" si="13"/>
        <v>Valid</v>
      </c>
      <c r="Q177" t="str">
        <f t="shared" si="10"/>
        <v>weekdays</v>
      </c>
      <c r="R177" t="str" cm="1">
        <f t="array" ref="R177">_xlfn.IFS(
N177=MAX(K177,L177,M177,N177),"Sedentary",M177
=MAX(K177,L177,M177,N177),"Lightly Active",
L177=MAX(K177,L177,M177,N177),"Fairly Active",
K177=MAX(K177,L177,M177,N177),"Very Active"
)</f>
        <v>Sedentary</v>
      </c>
      <c r="S177" t="str">
        <f t="shared" si="11"/>
        <v>Sedentary</v>
      </c>
    </row>
    <row r="178" spans="1:19" x14ac:dyDescent="0.3">
      <c r="A178">
        <v>4020332650</v>
      </c>
      <c r="B178" s="1">
        <v>42452</v>
      </c>
      <c r="C178">
        <v>6309</v>
      </c>
      <c r="D178">
        <v>4.5199999809265101</v>
      </c>
      <c r="E178">
        <v>4.5199999809265101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1440</v>
      </c>
      <c r="O178">
        <v>3140</v>
      </c>
      <c r="P178" t="str">
        <f t="shared" si="13"/>
        <v>Valid</v>
      </c>
      <c r="Q178" t="str">
        <f t="shared" si="10"/>
        <v>weekdays</v>
      </c>
      <c r="R178" t="str" cm="1">
        <f t="array" ref="R178">_xlfn.IFS(
N178=MAX(K178,L178,M178,N178),"Sedentary",M178
=MAX(K178,L178,M178,N178),"Lightly Active",
L178=MAX(K178,L178,M178,N178),"Fairly Active",
K178=MAX(K178,L178,M178,N178),"Very Active"
)</f>
        <v>Sedentary</v>
      </c>
      <c r="S178" t="str">
        <f t="shared" si="11"/>
        <v>Sedentary</v>
      </c>
    </row>
    <row r="179" spans="1:19" x14ac:dyDescent="0.3">
      <c r="A179">
        <v>4020332650</v>
      </c>
      <c r="B179" s="1">
        <v>42453</v>
      </c>
      <c r="C179">
        <v>1951</v>
      </c>
      <c r="D179">
        <v>1.4099999666214</v>
      </c>
      <c r="E179">
        <v>1.4099999666214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1440</v>
      </c>
      <c r="O179">
        <v>1980</v>
      </c>
      <c r="P179" t="str">
        <f t="shared" si="13"/>
        <v>Valid</v>
      </c>
      <c r="Q179" t="str">
        <f t="shared" si="10"/>
        <v>weekdays</v>
      </c>
      <c r="R179" t="str" cm="1">
        <f t="array" ref="R179">_xlfn.IFS(
N179=MAX(K179,L179,M179,N179),"Sedentary",M179
=MAX(K179,L179,M179,N179),"Lightly Active",
L179=MAX(K179,L179,M179,N179),"Fairly Active",
K179=MAX(K179,L179,M179,N179),"Very Active"
)</f>
        <v>Sedentary</v>
      </c>
      <c r="S179" t="str">
        <f t="shared" si="11"/>
        <v>Sedentary</v>
      </c>
    </row>
    <row r="180" spans="1:19" x14ac:dyDescent="0.3">
      <c r="A180">
        <v>4020332650</v>
      </c>
      <c r="B180" s="1">
        <v>42454</v>
      </c>
      <c r="C180">
        <v>5563</v>
      </c>
      <c r="D180">
        <v>3.9900000095367401</v>
      </c>
      <c r="E180">
        <v>3.9900000095367401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1440</v>
      </c>
      <c r="O180">
        <v>3681</v>
      </c>
      <c r="P180" t="str">
        <f t="shared" si="13"/>
        <v>Valid</v>
      </c>
      <c r="Q180" t="str">
        <f t="shared" si="10"/>
        <v>weekdays</v>
      </c>
      <c r="R180" t="str" cm="1">
        <f t="array" ref="R180">_xlfn.IFS(
N180=MAX(K180,L180,M180,N180),"Sedentary",M180
=MAX(K180,L180,M180,N180),"Lightly Active",
L180=MAX(K180,L180,M180,N180),"Fairly Active",
K180=MAX(K180,L180,M180,N180),"Very Active"
)</f>
        <v>Sedentary</v>
      </c>
      <c r="S180" t="str">
        <f t="shared" si="11"/>
        <v>Sedentary</v>
      </c>
    </row>
    <row r="181" spans="1:19" x14ac:dyDescent="0.3">
      <c r="A181">
        <v>4020332650</v>
      </c>
      <c r="B181" s="1">
        <v>42455</v>
      </c>
      <c r="C181">
        <v>4370</v>
      </c>
      <c r="D181">
        <v>3.1300001144409202</v>
      </c>
      <c r="E181">
        <v>3.1300001144409202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1440</v>
      </c>
      <c r="O181">
        <v>3444</v>
      </c>
      <c r="P181" t="str">
        <f t="shared" si="13"/>
        <v>Valid</v>
      </c>
      <c r="Q181" t="str">
        <f t="shared" si="10"/>
        <v>weekends</v>
      </c>
      <c r="R181" t="str" cm="1">
        <f t="array" ref="R181">_xlfn.IFS(
N181=MAX(K181,L181,M181,N181),"Sedentary",M181
=MAX(K181,L181,M181,N181),"Lightly Active",
L181=MAX(K181,L181,M181,N181),"Fairly Active",
K181=MAX(K181,L181,M181,N181),"Very Active"
)</f>
        <v>Sedentary</v>
      </c>
      <c r="S181" t="str">
        <f t="shared" si="11"/>
        <v>Sedentary</v>
      </c>
    </row>
    <row r="182" spans="1:19" x14ac:dyDescent="0.3">
      <c r="A182">
        <v>4020332650</v>
      </c>
      <c r="B182" s="1">
        <v>42456</v>
      </c>
      <c r="C182">
        <v>7144</v>
      </c>
      <c r="D182">
        <v>5.1199998855590803</v>
      </c>
      <c r="E182">
        <v>5.1199998855590803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1440</v>
      </c>
      <c r="O182">
        <v>3510</v>
      </c>
      <c r="P182" t="str">
        <f t="shared" si="13"/>
        <v>Valid</v>
      </c>
      <c r="Q182" t="str">
        <f t="shared" si="10"/>
        <v>weekends</v>
      </c>
      <c r="R182" t="str" cm="1">
        <f t="array" ref="R182">_xlfn.IFS(
N182=MAX(K182,L182,M182,N182),"Sedentary",M182
=MAX(K182,L182,M182,N182),"Lightly Active",
L182=MAX(K182,L182,M182,N182),"Fairly Active",
K182=MAX(K182,L182,M182,N182),"Very Active"
)</f>
        <v>Sedentary</v>
      </c>
      <c r="S182" t="str">
        <f t="shared" si="11"/>
        <v>Sedentary</v>
      </c>
    </row>
    <row r="183" spans="1:19" x14ac:dyDescent="0.3">
      <c r="A183">
        <v>4020332650</v>
      </c>
      <c r="B183" s="1">
        <v>42457</v>
      </c>
      <c r="C183">
        <v>2106</v>
      </c>
      <c r="D183">
        <v>1.5099999904632599</v>
      </c>
      <c r="E183">
        <v>1.5099999904632599</v>
      </c>
      <c r="F183">
        <v>0</v>
      </c>
      <c r="G183">
        <v>1.9999999552965199E-2</v>
      </c>
      <c r="H183">
        <v>5.0000000745058101E-2</v>
      </c>
      <c r="I183">
        <v>0.20999999344348899</v>
      </c>
      <c r="J183">
        <v>0</v>
      </c>
      <c r="K183">
        <v>31</v>
      </c>
      <c r="L183">
        <v>45</v>
      </c>
      <c r="M183">
        <v>75</v>
      </c>
      <c r="N183">
        <v>1289</v>
      </c>
      <c r="O183">
        <v>4010</v>
      </c>
      <c r="P183" t="str">
        <f t="shared" si="13"/>
        <v>Valid</v>
      </c>
      <c r="Q183" t="str">
        <f t="shared" si="10"/>
        <v>weekdays</v>
      </c>
      <c r="R183" t="str" cm="1">
        <f t="array" ref="R183">_xlfn.IFS(
N183=MAX(K183,L183,M183,N183),"Sedentary",M183
=MAX(K183,L183,M183,N183),"Lightly Active",
L183=MAX(K183,L183,M183,N183),"Fairly Active",
K183=MAX(K183,L183,M183,N183),"Very Active"
)</f>
        <v>Sedentary</v>
      </c>
      <c r="S183" t="str">
        <f t="shared" si="11"/>
        <v>Sedentary</v>
      </c>
    </row>
    <row r="184" spans="1:19" x14ac:dyDescent="0.3">
      <c r="A184">
        <v>4020332650</v>
      </c>
      <c r="B184" s="1">
        <v>42458</v>
      </c>
      <c r="C184">
        <v>4152</v>
      </c>
      <c r="D184">
        <v>2.9800000190734899</v>
      </c>
      <c r="E184">
        <v>2.9800000190734899</v>
      </c>
      <c r="F184">
        <v>0</v>
      </c>
      <c r="G184">
        <v>0</v>
      </c>
      <c r="H184">
        <v>0</v>
      </c>
      <c r="I184">
        <v>2.96000003814697</v>
      </c>
      <c r="J184">
        <v>0</v>
      </c>
      <c r="K184">
        <v>0</v>
      </c>
      <c r="L184">
        <v>0</v>
      </c>
      <c r="M184">
        <v>187</v>
      </c>
      <c r="N184">
        <v>1253</v>
      </c>
      <c r="O184">
        <v>2976</v>
      </c>
      <c r="P184" t="str">
        <f t="shared" si="13"/>
        <v>Valid</v>
      </c>
      <c r="Q184" t="str">
        <f t="shared" si="10"/>
        <v>weekdays</v>
      </c>
      <c r="R184" t="str" cm="1">
        <f t="array" ref="R184">_xlfn.IFS(
N184=MAX(K184,L184,M184,N184),"Sedentary",M184
=MAX(K184,L184,M184,N184),"Lightly Active",
L184=MAX(K184,L184,M184,N184),"Fairly Active",
K184=MAX(K184,L184,M184,N184),"Very Active"
)</f>
        <v>Sedentary</v>
      </c>
      <c r="S184" t="str">
        <f t="shared" si="11"/>
        <v>Sedentary</v>
      </c>
    </row>
    <row r="185" spans="1:19" x14ac:dyDescent="0.3">
      <c r="A185">
        <v>4020332650</v>
      </c>
      <c r="B185" s="1">
        <v>42459</v>
      </c>
      <c r="C185">
        <v>5400</v>
      </c>
      <c r="D185">
        <v>3.8699998855590798</v>
      </c>
      <c r="E185">
        <v>3.8699998855590798</v>
      </c>
      <c r="F185">
        <v>0</v>
      </c>
      <c r="G185">
        <v>0</v>
      </c>
      <c r="H185">
        <v>0</v>
      </c>
      <c r="I185">
        <v>3.8499999046325701</v>
      </c>
      <c r="J185">
        <v>0</v>
      </c>
      <c r="K185">
        <v>0</v>
      </c>
      <c r="L185">
        <v>0</v>
      </c>
      <c r="M185">
        <v>258</v>
      </c>
      <c r="N185">
        <v>795</v>
      </c>
      <c r="O185">
        <v>3418</v>
      </c>
      <c r="P185" t="str">
        <f t="shared" si="13"/>
        <v>Valid</v>
      </c>
      <c r="Q185" t="str">
        <f t="shared" si="10"/>
        <v>weekdays</v>
      </c>
      <c r="R185" t="str" cm="1">
        <f t="array" ref="R185">_xlfn.IFS(
N185=MAX(K185,L185,M185,N185),"Sedentary",M185
=MAX(K185,L185,M185,N185),"Lightly Active",
L185=MAX(K185,L185,M185,N185),"Fairly Active",
K185=MAX(K185,L185,M185,N185),"Very Active"
)</f>
        <v>Sedentary</v>
      </c>
      <c r="S185" t="str">
        <f t="shared" si="11"/>
        <v>Sedentary</v>
      </c>
    </row>
    <row r="186" spans="1:19" x14ac:dyDescent="0.3">
      <c r="A186">
        <v>4020332650</v>
      </c>
      <c r="B186" s="1">
        <v>42460</v>
      </c>
      <c r="C186">
        <v>7428</v>
      </c>
      <c r="D186">
        <v>5.3299999237060502</v>
      </c>
      <c r="E186">
        <v>5.3299999237060502</v>
      </c>
      <c r="F186">
        <v>0</v>
      </c>
      <c r="G186">
        <v>0.87000000476837203</v>
      </c>
      <c r="H186">
        <v>0.92000001668930098</v>
      </c>
      <c r="I186">
        <v>3.5099999904632599</v>
      </c>
      <c r="J186">
        <v>0</v>
      </c>
      <c r="K186">
        <v>18</v>
      </c>
      <c r="L186">
        <v>33</v>
      </c>
      <c r="M186">
        <v>261</v>
      </c>
      <c r="N186">
        <v>860</v>
      </c>
      <c r="O186">
        <v>3439</v>
      </c>
      <c r="P186" t="str">
        <f t="shared" si="13"/>
        <v>Valid</v>
      </c>
      <c r="Q186" t="str">
        <f t="shared" si="10"/>
        <v>weekdays</v>
      </c>
      <c r="R186" t="str" cm="1">
        <f t="array" ref="R186">_xlfn.IFS(
N186=MAX(K186,L186,M186,N186),"Sedentary",M186
=MAX(K186,L186,M186,N186),"Lightly Active",
L186=MAX(K186,L186,M186,N186),"Fairly Active",
K186=MAX(K186,L186,M186,N186),"Very Active"
)</f>
        <v>Sedentary</v>
      </c>
      <c r="S186" t="str">
        <f t="shared" si="11"/>
        <v>Sedentary</v>
      </c>
    </row>
    <row r="187" spans="1:19" x14ac:dyDescent="0.3">
      <c r="A187">
        <v>4020332650</v>
      </c>
      <c r="B187" s="1">
        <v>42461</v>
      </c>
      <c r="C187">
        <v>5351</v>
      </c>
      <c r="D187">
        <v>3.8399999141693102</v>
      </c>
      <c r="E187">
        <v>3.8399999141693102</v>
      </c>
      <c r="F187">
        <v>0</v>
      </c>
      <c r="G187">
        <v>0.62000000476837203</v>
      </c>
      <c r="H187">
        <v>0.18000000715255701</v>
      </c>
      <c r="I187">
        <v>3.0099999904632599</v>
      </c>
      <c r="J187">
        <v>0</v>
      </c>
      <c r="K187">
        <v>15</v>
      </c>
      <c r="L187">
        <v>17</v>
      </c>
      <c r="M187">
        <v>210</v>
      </c>
      <c r="N187">
        <v>748</v>
      </c>
      <c r="O187">
        <v>3338</v>
      </c>
      <c r="P187" t="str">
        <f t="shared" si="13"/>
        <v>Valid</v>
      </c>
      <c r="Q187" t="str">
        <f t="shared" si="10"/>
        <v>weekdays</v>
      </c>
      <c r="R187" t="str" cm="1">
        <f t="array" ref="R187">_xlfn.IFS(
N187=MAX(K187,L187,M187,N187),"Sedentary",M187
=MAX(K187,L187,M187,N187),"Lightly Active",
L187=MAX(K187,L187,M187,N187),"Fairly Active",
K187=MAX(K187,L187,M187,N187),"Very Active"
)</f>
        <v>Sedentary</v>
      </c>
      <c r="S187" t="str">
        <f t="shared" si="11"/>
        <v>Sedentary</v>
      </c>
    </row>
    <row r="188" spans="1:19" x14ac:dyDescent="0.3">
      <c r="A188">
        <v>4020332650</v>
      </c>
      <c r="B188" s="1">
        <v>42462</v>
      </c>
      <c r="C188">
        <v>4299</v>
      </c>
      <c r="D188">
        <v>3.0999999046325701</v>
      </c>
      <c r="E188">
        <v>3.0999999046325701</v>
      </c>
      <c r="F188">
        <v>0</v>
      </c>
      <c r="G188">
        <v>9.00000035762787E-2</v>
      </c>
      <c r="H188">
        <v>0.20999999344348899</v>
      </c>
      <c r="I188">
        <v>2.7400000095367401</v>
      </c>
      <c r="J188">
        <v>3.9999999105930301E-2</v>
      </c>
      <c r="K188">
        <v>3</v>
      </c>
      <c r="L188">
        <v>15</v>
      </c>
      <c r="M188">
        <v>162</v>
      </c>
      <c r="N188">
        <v>752</v>
      </c>
      <c r="O188">
        <v>2892</v>
      </c>
      <c r="P188" t="str">
        <f t="shared" si="13"/>
        <v>Valid</v>
      </c>
      <c r="Q188" t="str">
        <f t="shared" si="10"/>
        <v>weekends</v>
      </c>
      <c r="R188" t="str" cm="1">
        <f t="array" ref="R188">_xlfn.IFS(
N188=MAX(K188,L188,M188,N188),"Sedentary",M188
=MAX(K188,L188,M188,N188),"Lightly Active",
L188=MAX(K188,L188,M188,N188),"Fairly Active",
K188=MAX(K188,L188,M188,N188),"Very Active"
)</f>
        <v>Sedentary</v>
      </c>
      <c r="S188" t="str">
        <f t="shared" si="11"/>
        <v>Sedentary</v>
      </c>
    </row>
    <row r="189" spans="1:19" x14ac:dyDescent="0.3">
      <c r="A189">
        <v>4020332650</v>
      </c>
      <c r="B189" s="1">
        <v>42463</v>
      </c>
      <c r="C189">
        <v>6107</v>
      </c>
      <c r="D189">
        <v>4.3800001144409197</v>
      </c>
      <c r="E189">
        <v>4.3800001144409197</v>
      </c>
      <c r="F189">
        <v>0</v>
      </c>
      <c r="G189">
        <v>0</v>
      </c>
      <c r="H189">
        <v>0</v>
      </c>
      <c r="I189">
        <v>4.3600001335143999</v>
      </c>
      <c r="J189">
        <v>0</v>
      </c>
      <c r="K189">
        <v>0</v>
      </c>
      <c r="L189">
        <v>0</v>
      </c>
      <c r="M189">
        <v>265</v>
      </c>
      <c r="N189">
        <v>776</v>
      </c>
      <c r="O189">
        <v>3313</v>
      </c>
      <c r="P189" t="str">
        <f t="shared" si="13"/>
        <v>Valid</v>
      </c>
      <c r="Q189" t="str">
        <f t="shared" si="10"/>
        <v>weekends</v>
      </c>
      <c r="R189" t="str" cm="1">
        <f t="array" ref="R189">_xlfn.IFS(
N189=MAX(K189,L189,M189,N189),"Sedentary",M189
=MAX(K189,L189,M189,N189),"Lightly Active",
L189=MAX(K189,L189,M189,N189),"Fairly Active",
K189=MAX(K189,L189,M189,N189),"Very Active"
)</f>
        <v>Sedentary</v>
      </c>
      <c r="S189" t="str">
        <f t="shared" si="11"/>
        <v>Sedentary</v>
      </c>
    </row>
    <row r="190" spans="1:19" x14ac:dyDescent="0.3">
      <c r="A190">
        <v>4020332650</v>
      </c>
      <c r="B190" s="1">
        <v>42464</v>
      </c>
      <c r="C190">
        <v>6429</v>
      </c>
      <c r="D190">
        <v>4.5999999046325701</v>
      </c>
      <c r="E190">
        <v>4.5999999046325701</v>
      </c>
      <c r="F190">
        <v>0</v>
      </c>
      <c r="G190">
        <v>0</v>
      </c>
      <c r="H190">
        <v>0.94999998807907104</v>
      </c>
      <c r="I190">
        <v>3.6500000953674299</v>
      </c>
      <c r="J190">
        <v>0</v>
      </c>
      <c r="K190">
        <v>0</v>
      </c>
      <c r="L190">
        <v>28</v>
      </c>
      <c r="M190">
        <v>193</v>
      </c>
      <c r="N190">
        <v>741</v>
      </c>
      <c r="O190">
        <v>3118</v>
      </c>
      <c r="P190" t="str">
        <f t="shared" si="13"/>
        <v>Valid</v>
      </c>
      <c r="Q190" t="str">
        <f t="shared" si="10"/>
        <v>weekdays</v>
      </c>
      <c r="R190" t="str" cm="1">
        <f t="array" ref="R190">_xlfn.IFS(
N190=MAX(K190,L190,M190,N190),"Sedentary",M190
=MAX(K190,L190,M190,N190),"Lightly Active",
L190=MAX(K190,L190,M190,N190),"Fairly Active",
K190=MAX(K190,L190,M190,N190),"Very Active"
)</f>
        <v>Sedentary</v>
      </c>
      <c r="S190" t="str">
        <f t="shared" si="11"/>
        <v>Sedentary</v>
      </c>
    </row>
    <row r="191" spans="1:19" x14ac:dyDescent="0.3">
      <c r="A191">
        <v>4020332650</v>
      </c>
      <c r="B191" s="1">
        <v>42465</v>
      </c>
      <c r="C191">
        <v>6880</v>
      </c>
      <c r="D191">
        <v>4.9299998283386204</v>
      </c>
      <c r="E191">
        <v>4.9299998283386204</v>
      </c>
      <c r="F191">
        <v>0</v>
      </c>
      <c r="G191">
        <v>0.5</v>
      </c>
      <c r="H191">
        <v>0.75999999046325695</v>
      </c>
      <c r="I191">
        <v>3.6500000953674299</v>
      </c>
      <c r="J191">
        <v>0</v>
      </c>
      <c r="K191">
        <v>7</v>
      </c>
      <c r="L191">
        <v>19</v>
      </c>
      <c r="M191">
        <v>165</v>
      </c>
      <c r="N191">
        <v>1249</v>
      </c>
      <c r="O191">
        <v>2966</v>
      </c>
      <c r="P191" t="str">
        <f t="shared" si="13"/>
        <v>Valid</v>
      </c>
      <c r="Q191" t="str">
        <f t="shared" si="10"/>
        <v>weekdays</v>
      </c>
      <c r="R191" t="str" cm="1">
        <f t="array" ref="R191">_xlfn.IFS(
N191=MAX(K191,L191,M191,N191),"Sedentary",M191
=MAX(K191,L191,M191,N191),"Lightly Active",
L191=MAX(K191,L191,M191,N191),"Fairly Active",
K191=MAX(K191,L191,M191,N191),"Very Active"
)</f>
        <v>Sedentary</v>
      </c>
      <c r="S191" t="str">
        <f t="shared" si="11"/>
        <v>Sedentary</v>
      </c>
    </row>
    <row r="192" spans="1:19" x14ac:dyDescent="0.3">
      <c r="A192">
        <v>4020332650</v>
      </c>
      <c r="B192" s="1">
        <v>42466</v>
      </c>
      <c r="C192">
        <v>7476</v>
      </c>
      <c r="D192">
        <v>5.3600001335143999</v>
      </c>
      <c r="E192">
        <v>5.3600001335143999</v>
      </c>
      <c r="F192">
        <v>0</v>
      </c>
      <c r="G192">
        <v>0</v>
      </c>
      <c r="H192">
        <v>0</v>
      </c>
      <c r="I192">
        <v>5.3099999427795401</v>
      </c>
      <c r="J192">
        <v>0</v>
      </c>
      <c r="K192">
        <v>0</v>
      </c>
      <c r="L192">
        <v>0</v>
      </c>
      <c r="M192">
        <v>263</v>
      </c>
      <c r="N192">
        <v>920</v>
      </c>
      <c r="O192">
        <v>3253</v>
      </c>
      <c r="P192" t="str">
        <f t="shared" si="13"/>
        <v>Valid</v>
      </c>
      <c r="Q192" t="str">
        <f t="shared" si="10"/>
        <v>weekdays</v>
      </c>
      <c r="R192" t="str" cm="1">
        <f t="array" ref="R192">_xlfn.IFS(
N192=MAX(K192,L192,M192,N192),"Sedentary",M192
=MAX(K192,L192,M192,N192),"Lightly Active",
L192=MAX(K192,L192,M192,N192),"Fairly Active",
K192=MAX(K192,L192,M192,N192),"Very Active"
)</f>
        <v>Sedentary</v>
      </c>
      <c r="S192" t="str">
        <f t="shared" si="11"/>
        <v>Sedentary</v>
      </c>
    </row>
    <row r="193" spans="1:19" x14ac:dyDescent="0.3">
      <c r="A193">
        <v>4020332650</v>
      </c>
      <c r="B193" s="1">
        <v>42467</v>
      </c>
      <c r="C193">
        <v>6581</v>
      </c>
      <c r="D193">
        <v>4.7199997901916504</v>
      </c>
      <c r="E193">
        <v>4.7199997901916504</v>
      </c>
      <c r="F193">
        <v>0</v>
      </c>
      <c r="G193">
        <v>0</v>
      </c>
      <c r="H193">
        <v>0.28999999165535001</v>
      </c>
      <c r="I193">
        <v>4.3899998664856001</v>
      </c>
      <c r="J193">
        <v>0</v>
      </c>
      <c r="K193">
        <v>0</v>
      </c>
      <c r="L193">
        <v>8</v>
      </c>
      <c r="M193">
        <v>241</v>
      </c>
      <c r="N193">
        <v>1191</v>
      </c>
      <c r="O193">
        <v>3032</v>
      </c>
      <c r="P193" t="str">
        <f t="shared" si="13"/>
        <v>Valid</v>
      </c>
      <c r="Q193" t="str">
        <f t="shared" si="10"/>
        <v>weekdays</v>
      </c>
      <c r="R193" t="str" cm="1">
        <f t="array" ref="R193">_xlfn.IFS(
N193=MAX(K193,L193,M193,N193),"Sedentary",M193
=MAX(K193,L193,M193,N193),"Lightly Active",
L193=MAX(K193,L193,M193,N193),"Fairly Active",
K193=MAX(K193,L193,M193,N193),"Very Active"
)</f>
        <v>Sedentary</v>
      </c>
      <c r="S193" t="str">
        <f t="shared" si="11"/>
        <v>Sedentary</v>
      </c>
    </row>
    <row r="194" spans="1:19" x14ac:dyDescent="0.3">
      <c r="A194">
        <v>4020332650</v>
      </c>
      <c r="B194" s="1">
        <v>42468</v>
      </c>
      <c r="C194">
        <v>10480</v>
      </c>
      <c r="D194">
        <v>7.5100002288818404</v>
      </c>
      <c r="E194">
        <v>7.5100002288818404</v>
      </c>
      <c r="F194">
        <v>0</v>
      </c>
      <c r="G194">
        <v>0.40999999642372098</v>
      </c>
      <c r="H194">
        <v>1.4700000286102299</v>
      </c>
      <c r="I194">
        <v>5.0100002288818404</v>
      </c>
      <c r="J194">
        <v>3.9999999105930301E-2</v>
      </c>
      <c r="K194">
        <v>6</v>
      </c>
      <c r="L194">
        <v>37</v>
      </c>
      <c r="M194">
        <v>272</v>
      </c>
      <c r="N194">
        <v>1125</v>
      </c>
      <c r="O194">
        <v>4034</v>
      </c>
      <c r="P194" t="str">
        <f t="shared" si="13"/>
        <v>Valid</v>
      </c>
      <c r="Q194" t="str">
        <f t="shared" si="10"/>
        <v>weekdays</v>
      </c>
      <c r="R194" t="str" cm="1">
        <f t="array" ref="R194">_xlfn.IFS(
N194=MAX(K194,L194,M194,N194),"Sedentary",M194
=MAX(K194,L194,M194,N194),"Lightly Active",
L194=MAX(K194,L194,M194,N194),"Fairly Active",
K194=MAX(K194,L194,M194,N194),"Very Active"
)</f>
        <v>Sedentary</v>
      </c>
      <c r="S194" t="str">
        <f t="shared" si="11"/>
        <v>Sedentary</v>
      </c>
    </row>
    <row r="195" spans="1:19" x14ac:dyDescent="0.3">
      <c r="A195">
        <v>4020332650</v>
      </c>
      <c r="B195" s="1">
        <v>42469</v>
      </c>
      <c r="C195">
        <v>7734</v>
      </c>
      <c r="D195">
        <v>5.5500001907348597</v>
      </c>
      <c r="E195">
        <v>5.5500001907348597</v>
      </c>
      <c r="F195">
        <v>0</v>
      </c>
      <c r="G195">
        <v>1.1599999666214</v>
      </c>
      <c r="H195">
        <v>0.490000009536743</v>
      </c>
      <c r="I195">
        <v>3.8199999332428001</v>
      </c>
      <c r="J195">
        <v>5.9999998658895499E-2</v>
      </c>
      <c r="K195">
        <v>20</v>
      </c>
      <c r="L195">
        <v>12</v>
      </c>
      <c r="M195">
        <v>223</v>
      </c>
      <c r="N195">
        <v>1185</v>
      </c>
      <c r="O195">
        <v>3264</v>
      </c>
      <c r="P195" t="str">
        <f t="shared" si="13"/>
        <v>Valid</v>
      </c>
      <c r="Q195" t="str">
        <f t="shared" ref="Q195:Q258" si="14">IF(WEEKDAY(B195,2)&gt;5,"weekends","weekdays")</f>
        <v>weekends</v>
      </c>
      <c r="R195" t="str" cm="1">
        <f t="array" ref="R195">_xlfn.IFS(
N195=MAX(K195,L195,M195,N195),"Sedentary",M195
=MAX(K195,L195,M195,N195),"Lightly Active",
L195=MAX(K195,L195,M195,N195),"Fairly Active",
K195=MAX(K195,L195,M195,N195),"Very Active"
)</f>
        <v>Sedentary</v>
      </c>
      <c r="S195" t="str">
        <f t="shared" ref="S195:S258" si="15">IF(N196&gt;(K196+L196+M196),"Sedentary","Active")</f>
        <v>Sedentary</v>
      </c>
    </row>
    <row r="196" spans="1:19" x14ac:dyDescent="0.3">
      <c r="A196">
        <v>4020332650</v>
      </c>
      <c r="B196" s="1">
        <v>42470</v>
      </c>
      <c r="C196">
        <v>5129</v>
      </c>
      <c r="D196">
        <v>3.6800000667571999</v>
      </c>
      <c r="E196">
        <v>3.6800000667571999</v>
      </c>
      <c r="F196">
        <v>0</v>
      </c>
      <c r="G196">
        <v>0.18000000715255701</v>
      </c>
      <c r="H196">
        <v>0.239999994635582</v>
      </c>
      <c r="I196">
        <v>3.21000003814697</v>
      </c>
      <c r="J196">
        <v>9.9999997764825804E-3</v>
      </c>
      <c r="K196">
        <v>5</v>
      </c>
      <c r="L196">
        <v>7</v>
      </c>
      <c r="M196">
        <v>176</v>
      </c>
      <c r="N196">
        <v>1178</v>
      </c>
      <c r="O196">
        <v>2817</v>
      </c>
      <c r="P196" t="str">
        <f t="shared" si="13"/>
        <v>Valid</v>
      </c>
      <c r="Q196" t="str">
        <f t="shared" si="14"/>
        <v>weekends</v>
      </c>
      <c r="R196" t="str" cm="1">
        <f t="array" ref="R196">_xlfn.IFS(
N196=MAX(K196,L196,M196,N196),"Sedentary",M196
=MAX(K196,L196,M196,N196),"Lightly Active",
L196=MAX(K196,L196,M196,N196),"Fairly Active",
K196=MAX(K196,L196,M196,N196),"Very Active"
)</f>
        <v>Sedentary</v>
      </c>
      <c r="S196" t="str">
        <f t="shared" si="15"/>
        <v>Sedentary</v>
      </c>
    </row>
    <row r="197" spans="1:19" x14ac:dyDescent="0.3">
      <c r="A197">
        <v>4020332650</v>
      </c>
      <c r="B197" s="1">
        <v>42471</v>
      </c>
      <c r="C197">
        <v>2993</v>
      </c>
      <c r="D197">
        <v>2.1500000953674299</v>
      </c>
      <c r="E197">
        <v>2.1500000953674299</v>
      </c>
      <c r="F197">
        <v>0</v>
      </c>
      <c r="G197">
        <v>0</v>
      </c>
      <c r="H197">
        <v>0</v>
      </c>
      <c r="I197">
        <v>2.0899999141693102</v>
      </c>
      <c r="J197">
        <v>0</v>
      </c>
      <c r="K197">
        <v>0</v>
      </c>
      <c r="L197">
        <v>0</v>
      </c>
      <c r="M197">
        <v>114</v>
      </c>
      <c r="N197">
        <v>888</v>
      </c>
      <c r="O197">
        <v>2507</v>
      </c>
      <c r="P197" t="str">
        <f t="shared" si="13"/>
        <v>Valid</v>
      </c>
      <c r="Q197" t="str">
        <f t="shared" si="14"/>
        <v>weekdays</v>
      </c>
      <c r="R197" t="str" cm="1">
        <f t="array" ref="R197">_xlfn.IFS(
N197=MAX(K197,L197,M197,N197),"Sedentary",M197
=MAX(K197,L197,M197,N197),"Lightly Active",
L197=MAX(K197,L197,M197,N197),"Fairly Active",
K197=MAX(K197,L197,M197,N197),"Very Active"
)</f>
        <v>Sedentary</v>
      </c>
      <c r="S197" t="str">
        <f t="shared" si="15"/>
        <v>Sedentary</v>
      </c>
    </row>
    <row r="198" spans="1:19" x14ac:dyDescent="0.3">
      <c r="A198">
        <v>4020332650</v>
      </c>
      <c r="B198" s="1">
        <v>42472</v>
      </c>
      <c r="C198">
        <v>8</v>
      </c>
      <c r="D198">
        <v>9.9999997764825804E-3</v>
      </c>
      <c r="E198">
        <v>9.9999997764825804E-3</v>
      </c>
      <c r="F198">
        <v>0</v>
      </c>
      <c r="G198">
        <v>0</v>
      </c>
      <c r="H198">
        <v>0</v>
      </c>
      <c r="I198">
        <v>9.9999997764825804E-3</v>
      </c>
      <c r="J198">
        <v>0</v>
      </c>
      <c r="K198">
        <v>0</v>
      </c>
      <c r="L198">
        <v>0</v>
      </c>
      <c r="M198">
        <v>1</v>
      </c>
      <c r="N198">
        <v>321</v>
      </c>
      <c r="O198">
        <v>446</v>
      </c>
      <c r="P198" t="str">
        <f t="shared" si="13"/>
        <v>Valid</v>
      </c>
      <c r="Q198" t="str">
        <f t="shared" si="14"/>
        <v>weekdays</v>
      </c>
      <c r="R198" t="str" cm="1">
        <f t="array" ref="R198">_xlfn.IFS(
N198=MAX(K198,L198,M198,N198),"Sedentary",M198
=MAX(K198,L198,M198,N198),"Lightly Active",
L198=MAX(K198,L198,M198,N198),"Fairly Active",
K198=MAX(K198,L198,M198,N198),"Very Active"
)</f>
        <v>Sedentary</v>
      </c>
      <c r="S198" t="str">
        <f t="shared" si="15"/>
        <v>Sedentary</v>
      </c>
    </row>
    <row r="199" spans="1:19" x14ac:dyDescent="0.3">
      <c r="A199">
        <v>4057192912</v>
      </c>
      <c r="B199" s="1">
        <v>42441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1440</v>
      </c>
      <c r="O199">
        <v>1777</v>
      </c>
      <c r="P199" t="str">
        <f t="shared" ref="P199:P201" si="16">IF(AND(C199=0,D199=0,L199&gt;0),"Invalid","Valid")</f>
        <v>Valid</v>
      </c>
      <c r="Q199" t="str">
        <f t="shared" si="14"/>
        <v>weekends</v>
      </c>
      <c r="R199" t="str" cm="1">
        <f t="array" ref="R199">_xlfn.IFS(
N199=MAX(K199,L199,M199,N199),"Sedentary",M199
=MAX(K199,L199,M199,N199),"Lightly Active",
L199=MAX(K199,L199,M199,N199),"Fairly Active",
K199=MAX(K199,L199,M199,N199),"Very Active"
)</f>
        <v>Sedentary</v>
      </c>
      <c r="S199" t="str">
        <f t="shared" si="15"/>
        <v>Sedentary</v>
      </c>
    </row>
    <row r="200" spans="1:19" x14ac:dyDescent="0.3">
      <c r="A200">
        <v>4057192912</v>
      </c>
      <c r="B200" s="1">
        <v>42442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1440</v>
      </c>
      <c r="O200">
        <v>1777</v>
      </c>
      <c r="P200" t="str">
        <f t="shared" si="16"/>
        <v>Valid</v>
      </c>
      <c r="Q200" t="str">
        <f t="shared" si="14"/>
        <v>weekends</v>
      </c>
      <c r="R200" t="str" cm="1">
        <f t="array" ref="R200">_xlfn.IFS(
N200=MAX(K200,L200,M200,N200),"Sedentary",M200
=MAX(K200,L200,M200,N200),"Lightly Active",
L200=MAX(K200,L200,M200,N200),"Fairly Active",
K200=MAX(K200,L200,M200,N200),"Very Active"
)</f>
        <v>Sedentary</v>
      </c>
      <c r="S200" t="str">
        <f t="shared" si="15"/>
        <v>Sedentary</v>
      </c>
    </row>
    <row r="201" spans="1:19" x14ac:dyDescent="0.3">
      <c r="A201">
        <v>4057192912</v>
      </c>
      <c r="B201" s="1">
        <v>42443</v>
      </c>
      <c r="C201">
        <v>8433</v>
      </c>
      <c r="D201">
        <v>6.2300000190734899</v>
      </c>
      <c r="E201">
        <v>6.2300000190734899</v>
      </c>
      <c r="F201">
        <v>0</v>
      </c>
      <c r="G201">
        <v>2.4500000476837198</v>
      </c>
      <c r="H201">
        <v>0.33000001311302202</v>
      </c>
      <c r="I201">
        <v>3.4400000572204599</v>
      </c>
      <c r="J201">
        <v>0</v>
      </c>
      <c r="K201">
        <v>30</v>
      </c>
      <c r="L201">
        <v>7</v>
      </c>
      <c r="M201">
        <v>135</v>
      </c>
      <c r="N201">
        <v>1268</v>
      </c>
      <c r="O201">
        <v>2453</v>
      </c>
      <c r="P201" t="str">
        <f t="shared" si="16"/>
        <v>Valid</v>
      </c>
      <c r="Q201" t="str">
        <f t="shared" si="14"/>
        <v>weekdays</v>
      </c>
      <c r="R201" t="str" cm="1">
        <f t="array" ref="R201">_xlfn.IFS(
N201=MAX(K201,L201,M201,N201),"Sedentary",M201
=MAX(K201,L201,M201,N201),"Lightly Active",
L201=MAX(K201,L201,M201,N201),"Fairly Active",
K201=MAX(K201,L201,M201,N201),"Very Active"
)</f>
        <v>Sedentary</v>
      </c>
      <c r="S201" t="str">
        <f t="shared" si="15"/>
        <v>Sedentary</v>
      </c>
    </row>
    <row r="202" spans="1:19" x14ac:dyDescent="0.3">
      <c r="A202">
        <v>4057192912</v>
      </c>
      <c r="B202" s="1">
        <v>42444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1440</v>
      </c>
      <c r="O202">
        <v>1776</v>
      </c>
      <c r="P202" t="str">
        <f>IF(AND(C202=0,D202=0,L202&gt;0),"Invalid","Valid")</f>
        <v>Valid</v>
      </c>
      <c r="Q202" t="str">
        <f t="shared" si="14"/>
        <v>weekdays</v>
      </c>
      <c r="R202" t="str" cm="1">
        <f t="array" ref="R202">_xlfn.IFS(
N202=MAX(K202,L202,M202,N202),"Sedentary",M202
=MAX(K202,L202,M202,N202),"Lightly Active",
L202=MAX(K202,L202,M202,N202),"Fairly Active",
K202=MAX(K202,L202,M202,N202),"Very Active"
)</f>
        <v>Sedentary</v>
      </c>
      <c r="S202" t="str">
        <f t="shared" si="15"/>
        <v>Sedentary</v>
      </c>
    </row>
    <row r="203" spans="1:19" x14ac:dyDescent="0.3">
      <c r="A203">
        <v>4057192912</v>
      </c>
      <c r="B203" s="1">
        <v>42445</v>
      </c>
      <c r="C203">
        <v>2139</v>
      </c>
      <c r="D203">
        <v>1.5599999427795399</v>
      </c>
      <c r="E203">
        <v>1.5599999427795399</v>
      </c>
      <c r="F203">
        <v>0</v>
      </c>
      <c r="G203">
        <v>0</v>
      </c>
      <c r="H203">
        <v>1.29999995231628</v>
      </c>
      <c r="I203">
        <v>0.259999990463257</v>
      </c>
      <c r="J203">
        <v>0</v>
      </c>
      <c r="K203">
        <v>0</v>
      </c>
      <c r="L203">
        <v>28</v>
      </c>
      <c r="M203">
        <v>15</v>
      </c>
      <c r="N203">
        <v>1397</v>
      </c>
      <c r="O203">
        <v>1935</v>
      </c>
      <c r="P203" t="str">
        <f>IF(AND(C203=0,D203=0,L203&gt;0),"Invalid","Valid")</f>
        <v>Valid</v>
      </c>
      <c r="Q203" t="str">
        <f t="shared" si="14"/>
        <v>weekdays</v>
      </c>
      <c r="R203" t="str" cm="1">
        <f t="array" ref="R203">_xlfn.IFS(
N203=MAX(K203,L203,M203,N203),"Sedentary",M203
=MAX(K203,L203,M203,N203),"Lightly Active",
L203=MAX(K203,L203,M203,N203),"Fairly Active",
K203=MAX(K203,L203,M203,N203),"Very Active"
)</f>
        <v>Sedentary</v>
      </c>
      <c r="S203" t="str">
        <f t="shared" si="15"/>
        <v>Sedentary</v>
      </c>
    </row>
    <row r="204" spans="1:19" x14ac:dyDescent="0.3">
      <c r="A204">
        <v>4057192912</v>
      </c>
      <c r="B204" s="1">
        <v>42446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1440</v>
      </c>
      <c r="O204">
        <v>1776</v>
      </c>
      <c r="P204" t="str">
        <f>IF(AND(C204=0,D204=0,L204&gt;0),"Invalid","Valid")</f>
        <v>Valid</v>
      </c>
      <c r="Q204" t="str">
        <f t="shared" si="14"/>
        <v>weekdays</v>
      </c>
      <c r="R204" t="str" cm="1">
        <f t="array" ref="R204">_xlfn.IFS(
N204=MAX(K204,L204,M204,N204),"Sedentary",M204
=MAX(K204,L204,M204,N204),"Lightly Active",
L204=MAX(K204,L204,M204,N204),"Fairly Active",
K204=MAX(K204,L204,M204,N204),"Very Active"
)</f>
        <v>Sedentary</v>
      </c>
      <c r="S204" t="str">
        <f t="shared" si="15"/>
        <v>Sedentary</v>
      </c>
    </row>
    <row r="205" spans="1:19" x14ac:dyDescent="0.3">
      <c r="A205">
        <v>4057192912</v>
      </c>
      <c r="B205" s="1">
        <v>42447</v>
      </c>
      <c r="C205">
        <v>949</v>
      </c>
      <c r="D205">
        <v>0.68999999761581399</v>
      </c>
      <c r="E205">
        <v>0.68999999761581399</v>
      </c>
      <c r="F205">
        <v>0</v>
      </c>
      <c r="G205">
        <v>0</v>
      </c>
      <c r="H205">
        <v>0</v>
      </c>
      <c r="I205">
        <v>0.68999999761581399</v>
      </c>
      <c r="J205">
        <v>0</v>
      </c>
      <c r="K205">
        <v>0</v>
      </c>
      <c r="L205">
        <v>0</v>
      </c>
      <c r="M205">
        <v>34</v>
      </c>
      <c r="N205">
        <v>1406</v>
      </c>
      <c r="O205">
        <v>1870</v>
      </c>
      <c r="P205" t="str">
        <f>IF(AND(C205=0,D205=0,L205&gt;0),"Invalid","Valid")</f>
        <v>Valid</v>
      </c>
      <c r="Q205" t="str">
        <f t="shared" si="14"/>
        <v>weekdays</v>
      </c>
      <c r="R205" t="str" cm="1">
        <f t="array" ref="R205">_xlfn.IFS(
N205=MAX(K205,L205,M205,N205),"Sedentary",M205
=MAX(K205,L205,M205,N205),"Lightly Active",
L205=MAX(K205,L205,M205,N205),"Fairly Active",
K205=MAX(K205,L205,M205,N205),"Very Active"
)</f>
        <v>Sedentary</v>
      </c>
      <c r="S205" t="str">
        <f t="shared" si="15"/>
        <v>Sedentary</v>
      </c>
    </row>
    <row r="206" spans="1:19" x14ac:dyDescent="0.3">
      <c r="A206">
        <v>4057192912</v>
      </c>
      <c r="B206" s="1">
        <v>42448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1440</v>
      </c>
      <c r="O206">
        <v>1777</v>
      </c>
      <c r="P206" t="str">
        <f>IF(AND(C206=0,D206=0,L206&gt;0),"Invalid","Valid")</f>
        <v>Valid</v>
      </c>
      <c r="Q206" t="str">
        <f t="shared" si="14"/>
        <v>weekends</v>
      </c>
      <c r="R206" t="str" cm="1">
        <f t="array" ref="R206">_xlfn.IFS(
N206=MAX(K206,L206,M206,N206),"Sedentary",M206
=MAX(K206,L206,M206,N206),"Lightly Active",
L206=MAX(K206,L206,M206,N206),"Fairly Active",
K206=MAX(K206,L206,M206,N206),"Very Active"
)</f>
        <v>Sedentary</v>
      </c>
      <c r="S206" t="str">
        <f t="shared" si="15"/>
        <v>Sedentary</v>
      </c>
    </row>
    <row r="207" spans="1:19" x14ac:dyDescent="0.3">
      <c r="A207">
        <v>4057192912</v>
      </c>
      <c r="B207" s="1">
        <v>42449</v>
      </c>
      <c r="C207">
        <v>44</v>
      </c>
      <c r="D207">
        <v>2.9999999329447701E-2</v>
      </c>
      <c r="E207">
        <v>2.9999999329447701E-2</v>
      </c>
      <c r="F207">
        <v>0</v>
      </c>
      <c r="G207">
        <v>0</v>
      </c>
      <c r="H207">
        <v>0</v>
      </c>
      <c r="I207">
        <v>2.9999999329447701E-2</v>
      </c>
      <c r="J207">
        <v>0</v>
      </c>
      <c r="K207">
        <v>0</v>
      </c>
      <c r="L207">
        <v>0</v>
      </c>
      <c r="M207">
        <v>2</v>
      </c>
      <c r="N207">
        <v>1438</v>
      </c>
      <c r="O207">
        <v>1782</v>
      </c>
      <c r="P207" t="str">
        <f t="shared" ref="P207:P211" si="17">IF(AND(C207=0,D207=0,L207&gt;0),"Invalid","Valid")</f>
        <v>Valid</v>
      </c>
      <c r="Q207" t="str">
        <f t="shared" si="14"/>
        <v>weekends</v>
      </c>
      <c r="R207" t="str" cm="1">
        <f t="array" ref="R207">_xlfn.IFS(
N207=MAX(K207,L207,M207,N207),"Sedentary",M207
=MAX(K207,L207,M207,N207),"Lightly Active",
L207=MAX(K207,L207,M207,N207),"Fairly Active",
K207=MAX(K207,L207,M207,N207),"Very Active"
)</f>
        <v>Sedentary</v>
      </c>
      <c r="S207" t="str">
        <f t="shared" si="15"/>
        <v>Sedentary</v>
      </c>
    </row>
    <row r="208" spans="1:19" x14ac:dyDescent="0.3">
      <c r="A208">
        <v>4057192912</v>
      </c>
      <c r="B208" s="1">
        <v>42450</v>
      </c>
      <c r="C208">
        <v>2660</v>
      </c>
      <c r="D208">
        <v>1.9400000572204601</v>
      </c>
      <c r="E208">
        <v>1.9400000572204601</v>
      </c>
      <c r="F208">
        <v>0</v>
      </c>
      <c r="G208">
        <v>0</v>
      </c>
      <c r="H208">
        <v>0</v>
      </c>
      <c r="I208">
        <v>1.9400000572204601</v>
      </c>
      <c r="J208">
        <v>0</v>
      </c>
      <c r="K208">
        <v>0</v>
      </c>
      <c r="L208">
        <v>0</v>
      </c>
      <c r="M208">
        <v>46</v>
      </c>
      <c r="N208">
        <v>1394</v>
      </c>
      <c r="O208">
        <v>1978</v>
      </c>
      <c r="P208" t="str">
        <f t="shared" si="17"/>
        <v>Valid</v>
      </c>
      <c r="Q208" t="str">
        <f t="shared" si="14"/>
        <v>weekdays</v>
      </c>
      <c r="R208" t="str" cm="1">
        <f t="array" ref="R208">_xlfn.IFS(
N208=MAX(K208,L208,M208,N208),"Sedentary",M208
=MAX(K208,L208,M208,N208),"Lightly Active",
L208=MAX(K208,L208,M208,N208),"Fairly Active",
K208=MAX(K208,L208,M208,N208),"Very Active"
)</f>
        <v>Sedentary</v>
      </c>
      <c r="S208" t="str">
        <f t="shared" si="15"/>
        <v>Sedentary</v>
      </c>
    </row>
    <row r="209" spans="1:19" x14ac:dyDescent="0.3">
      <c r="A209">
        <v>4057192912</v>
      </c>
      <c r="B209" s="1">
        <v>42451</v>
      </c>
      <c r="C209">
        <v>5561</v>
      </c>
      <c r="D209">
        <v>4.1900000572204599</v>
      </c>
      <c r="E209">
        <v>4.1900000572204599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169</v>
      </c>
      <c r="N209">
        <v>1271</v>
      </c>
      <c r="O209">
        <v>2296</v>
      </c>
      <c r="P209" t="str">
        <f t="shared" si="17"/>
        <v>Valid</v>
      </c>
      <c r="Q209" t="str">
        <f t="shared" si="14"/>
        <v>weekdays</v>
      </c>
      <c r="R209" t="str" cm="1">
        <f t="array" ref="R209">_xlfn.IFS(
N209=MAX(K209,L209,M209,N209),"Sedentary",M209
=MAX(K209,L209,M209,N209),"Lightly Active",
L209=MAX(K209,L209,M209,N209),"Fairly Active",
K209=MAX(K209,L209,M209,N209),"Very Active"
)</f>
        <v>Sedentary</v>
      </c>
      <c r="S209" t="str">
        <f t="shared" si="15"/>
        <v>Sedentary</v>
      </c>
    </row>
    <row r="210" spans="1:19" x14ac:dyDescent="0.3">
      <c r="A210">
        <v>4057192912</v>
      </c>
      <c r="B210" s="1">
        <v>42452</v>
      </c>
      <c r="C210">
        <v>7239</v>
      </c>
      <c r="D210">
        <v>5.3400001525878897</v>
      </c>
      <c r="E210">
        <v>5.3400001525878897</v>
      </c>
      <c r="F210">
        <v>0</v>
      </c>
      <c r="G210">
        <v>0.55000001192092896</v>
      </c>
      <c r="H210">
        <v>0.36000001430511502</v>
      </c>
      <c r="I210">
        <v>4.3800001144409197</v>
      </c>
      <c r="J210">
        <v>0</v>
      </c>
      <c r="K210">
        <v>7</v>
      </c>
      <c r="L210">
        <v>7</v>
      </c>
      <c r="M210">
        <v>190</v>
      </c>
      <c r="N210">
        <v>1236</v>
      </c>
      <c r="O210">
        <v>2484</v>
      </c>
      <c r="P210" t="str">
        <f t="shared" si="17"/>
        <v>Valid</v>
      </c>
      <c r="Q210" t="str">
        <f t="shared" si="14"/>
        <v>weekdays</v>
      </c>
      <c r="R210" t="str" cm="1">
        <f t="array" ref="R210">_xlfn.IFS(
N210=MAX(K210,L210,M210,N210),"Sedentary",M210
=MAX(K210,L210,M210,N210),"Lightly Active",
L210=MAX(K210,L210,M210,N210),"Fairly Active",
K210=MAX(K210,L210,M210,N210),"Very Active"
)</f>
        <v>Sedentary</v>
      </c>
      <c r="S210" t="str">
        <f t="shared" si="15"/>
        <v>Sedentary</v>
      </c>
    </row>
    <row r="211" spans="1:19" x14ac:dyDescent="0.3">
      <c r="A211">
        <v>4057192912</v>
      </c>
      <c r="B211" s="1">
        <v>42453</v>
      </c>
      <c r="C211">
        <v>7</v>
      </c>
      <c r="D211">
        <v>9.9999997764825804E-3</v>
      </c>
      <c r="E211">
        <v>9.9999997764825804E-3</v>
      </c>
      <c r="F211">
        <v>0</v>
      </c>
      <c r="G211">
        <v>0</v>
      </c>
      <c r="H211">
        <v>0</v>
      </c>
      <c r="I211">
        <v>9.9999997764825804E-3</v>
      </c>
      <c r="J211">
        <v>0</v>
      </c>
      <c r="K211">
        <v>0</v>
      </c>
      <c r="L211">
        <v>0</v>
      </c>
      <c r="M211">
        <v>1</v>
      </c>
      <c r="N211">
        <v>1439</v>
      </c>
      <c r="O211">
        <v>1787</v>
      </c>
      <c r="P211" t="str">
        <f t="shared" si="17"/>
        <v>Valid</v>
      </c>
      <c r="Q211" t="str">
        <f t="shared" si="14"/>
        <v>weekdays</v>
      </c>
      <c r="R211" t="str" cm="1">
        <f t="array" ref="R211">_xlfn.IFS(
N211=MAX(K211,L211,M211,N211),"Sedentary",M211
=MAX(K211,L211,M211,N211),"Lightly Active",
L211=MAX(K211,L211,M211,N211),"Fairly Active",
K211=MAX(K211,L211,M211,N211),"Very Active"
)</f>
        <v>Sedentary</v>
      </c>
      <c r="S211" t="str">
        <f t="shared" si="15"/>
        <v>Sedentary</v>
      </c>
    </row>
    <row r="212" spans="1:19" x14ac:dyDescent="0.3">
      <c r="A212">
        <v>4057192912</v>
      </c>
      <c r="B212" s="1">
        <v>42454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1440</v>
      </c>
      <c r="O212">
        <v>1776</v>
      </c>
      <c r="P212" t="str">
        <f t="shared" ref="P212:P217" si="18">IF(AND(C212=0,D212=0,L212&gt;0),"Invalid","Valid")</f>
        <v>Valid</v>
      </c>
      <c r="Q212" t="str">
        <f t="shared" si="14"/>
        <v>weekdays</v>
      </c>
      <c r="R212" t="str" cm="1">
        <f t="array" ref="R212">_xlfn.IFS(
N212=MAX(K212,L212,M212,N212),"Sedentary",M212
=MAX(K212,L212,M212,N212),"Lightly Active",
L212=MAX(K212,L212,M212,N212),"Fairly Active",
K212=MAX(K212,L212,M212,N212),"Very Active"
)</f>
        <v>Sedentary</v>
      </c>
      <c r="S212" t="str">
        <f t="shared" si="15"/>
        <v>Sedentary</v>
      </c>
    </row>
    <row r="213" spans="1:19" x14ac:dyDescent="0.3">
      <c r="A213">
        <v>4057192912</v>
      </c>
      <c r="B213" s="1">
        <v>42455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1440</v>
      </c>
      <c r="O213">
        <v>1776</v>
      </c>
      <c r="P213" t="str">
        <f t="shared" si="18"/>
        <v>Valid</v>
      </c>
      <c r="Q213" t="str">
        <f t="shared" si="14"/>
        <v>weekends</v>
      </c>
      <c r="R213" t="str" cm="1">
        <f t="array" ref="R213">_xlfn.IFS(
N213=MAX(K213,L213,M213,N213),"Sedentary",M213
=MAX(K213,L213,M213,N213),"Lightly Active",
L213=MAX(K213,L213,M213,N213),"Fairly Active",
K213=MAX(K213,L213,M213,N213),"Very Active"
)</f>
        <v>Sedentary</v>
      </c>
      <c r="S213" t="str">
        <f t="shared" si="15"/>
        <v>Sedentary</v>
      </c>
    </row>
    <row r="214" spans="1:19" x14ac:dyDescent="0.3">
      <c r="A214">
        <v>4057192912</v>
      </c>
      <c r="B214" s="1">
        <v>42456</v>
      </c>
      <c r="C214">
        <v>2275</v>
      </c>
      <c r="D214">
        <v>1.6799999475479099</v>
      </c>
      <c r="E214">
        <v>1.6799999475479099</v>
      </c>
      <c r="F214">
        <v>0</v>
      </c>
      <c r="G214">
        <v>0</v>
      </c>
      <c r="H214">
        <v>0</v>
      </c>
      <c r="I214">
        <v>1.6599999666214</v>
      </c>
      <c r="J214">
        <v>0</v>
      </c>
      <c r="K214">
        <v>0</v>
      </c>
      <c r="L214">
        <v>0</v>
      </c>
      <c r="M214">
        <v>86</v>
      </c>
      <c r="N214">
        <v>1354</v>
      </c>
      <c r="O214">
        <v>2005</v>
      </c>
      <c r="P214" t="str">
        <f t="shared" si="18"/>
        <v>Valid</v>
      </c>
      <c r="Q214" t="str">
        <f t="shared" si="14"/>
        <v>weekends</v>
      </c>
      <c r="R214" t="str" cm="1">
        <f t="array" ref="R214">_xlfn.IFS(
N214=MAX(K214,L214,M214,N214),"Sedentary",M214
=MAX(K214,L214,M214,N214),"Lightly Active",
L214=MAX(K214,L214,M214,N214),"Fairly Active",
K214=MAX(K214,L214,M214,N214),"Very Active"
)</f>
        <v>Sedentary</v>
      </c>
      <c r="S214" t="str">
        <f t="shared" si="15"/>
        <v>Sedentary</v>
      </c>
    </row>
    <row r="215" spans="1:19" x14ac:dyDescent="0.3">
      <c r="A215">
        <v>4057192912</v>
      </c>
      <c r="B215" s="1">
        <v>42457</v>
      </c>
      <c r="C215">
        <v>8</v>
      </c>
      <c r="D215">
        <v>9.9999997764825804E-3</v>
      </c>
      <c r="E215">
        <v>9.9999997764825804E-3</v>
      </c>
      <c r="F215">
        <v>0</v>
      </c>
      <c r="G215">
        <v>0</v>
      </c>
      <c r="H215">
        <v>0</v>
      </c>
      <c r="I215">
        <v>9.9999997764825804E-3</v>
      </c>
      <c r="J215">
        <v>0</v>
      </c>
      <c r="K215">
        <v>0</v>
      </c>
      <c r="L215">
        <v>0</v>
      </c>
      <c r="M215">
        <v>1</v>
      </c>
      <c r="N215">
        <v>1439</v>
      </c>
      <c r="O215">
        <v>1778</v>
      </c>
      <c r="P215" t="str">
        <f t="shared" si="18"/>
        <v>Valid</v>
      </c>
      <c r="Q215" t="str">
        <f t="shared" si="14"/>
        <v>weekdays</v>
      </c>
      <c r="R215" t="str" cm="1">
        <f t="array" ref="R215">_xlfn.IFS(
N215=MAX(K215,L215,M215,N215),"Sedentary",M215
=MAX(K215,L215,M215,N215),"Lightly Active",
L215=MAX(K215,L215,M215,N215),"Fairly Active",
K215=MAX(K215,L215,M215,N215),"Very Active"
)</f>
        <v>Sedentary</v>
      </c>
      <c r="S215" t="str">
        <f t="shared" si="15"/>
        <v>Sedentary</v>
      </c>
    </row>
    <row r="216" spans="1:19" x14ac:dyDescent="0.3">
      <c r="A216">
        <v>4057192912</v>
      </c>
      <c r="B216" s="1">
        <v>42458</v>
      </c>
      <c r="C216">
        <v>5137</v>
      </c>
      <c r="D216">
        <v>3.7599999904632599</v>
      </c>
      <c r="E216">
        <v>3.7599999904632599</v>
      </c>
      <c r="F216">
        <v>0</v>
      </c>
      <c r="G216">
        <v>0</v>
      </c>
      <c r="H216">
        <v>0</v>
      </c>
      <c r="I216">
        <v>3.7599999904632599</v>
      </c>
      <c r="J216">
        <v>0</v>
      </c>
      <c r="K216">
        <v>0</v>
      </c>
      <c r="L216">
        <v>0</v>
      </c>
      <c r="M216">
        <v>160</v>
      </c>
      <c r="N216">
        <v>1280</v>
      </c>
      <c r="O216">
        <v>2293</v>
      </c>
      <c r="P216" t="str">
        <f t="shared" si="18"/>
        <v>Valid</v>
      </c>
      <c r="Q216" t="str">
        <f t="shared" si="14"/>
        <v>weekdays</v>
      </c>
      <c r="R216" t="str" cm="1">
        <f t="array" ref="R216">_xlfn.IFS(
N216=MAX(K216,L216,M216,N216),"Sedentary",M216
=MAX(K216,L216,M216,N216),"Lightly Active",
L216=MAX(K216,L216,M216,N216),"Fairly Active",
K216=MAX(K216,L216,M216,N216),"Very Active"
)</f>
        <v>Sedentary</v>
      </c>
      <c r="S216" t="str">
        <f t="shared" si="15"/>
        <v>Sedentary</v>
      </c>
    </row>
    <row r="217" spans="1:19" x14ac:dyDescent="0.3">
      <c r="A217">
        <v>4057192912</v>
      </c>
      <c r="B217" s="1">
        <v>42459</v>
      </c>
      <c r="C217">
        <v>5419</v>
      </c>
      <c r="D217">
        <v>4</v>
      </c>
      <c r="E217">
        <v>4.5700001716613796</v>
      </c>
      <c r="F217">
        <v>5.5842999368906E-2</v>
      </c>
      <c r="G217">
        <v>0</v>
      </c>
      <c r="H217">
        <v>0</v>
      </c>
      <c r="I217">
        <v>3.9100000858306898</v>
      </c>
      <c r="J217">
        <v>5.9999998658895499E-2</v>
      </c>
      <c r="K217">
        <v>0</v>
      </c>
      <c r="L217">
        <v>0</v>
      </c>
      <c r="M217">
        <v>145</v>
      </c>
      <c r="N217">
        <v>1295</v>
      </c>
      <c r="O217">
        <v>2259</v>
      </c>
      <c r="P217" t="str">
        <f t="shared" si="18"/>
        <v>Valid</v>
      </c>
      <c r="Q217" t="str">
        <f t="shared" si="14"/>
        <v>weekdays</v>
      </c>
      <c r="R217" t="str" cm="1">
        <f t="array" ref="R217">_xlfn.IFS(
N217=MAX(K217,L217,M217,N217),"Sedentary",M217
=MAX(K217,L217,M217,N217),"Lightly Active",
L217=MAX(K217,L217,M217,N217),"Fairly Active",
K217=MAX(K217,L217,M217,N217),"Very Active"
)</f>
        <v>Sedentary</v>
      </c>
      <c r="S217" t="str">
        <f t="shared" si="15"/>
        <v>Sedentary</v>
      </c>
    </row>
    <row r="218" spans="1:19" x14ac:dyDescent="0.3">
      <c r="A218">
        <v>4057192912</v>
      </c>
      <c r="B218" s="1">
        <v>42460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1440</v>
      </c>
      <c r="O218">
        <v>1776</v>
      </c>
      <c r="P218" t="str">
        <f t="shared" ref="P218:P241" si="19">IF(AND(C218=0,D218=0,L218&gt;0),"Invalid","Valid")</f>
        <v>Valid</v>
      </c>
      <c r="Q218" t="str">
        <f t="shared" si="14"/>
        <v>weekdays</v>
      </c>
      <c r="R218" t="str" cm="1">
        <f t="array" ref="R218">_xlfn.IFS(
N218=MAX(K218,L218,M218,N218),"Sedentary",M218
=MAX(K218,L218,M218,N218),"Lightly Active",
L218=MAX(K218,L218,M218,N218),"Fairly Active",
K218=MAX(K218,L218,M218,N218),"Very Active"
)</f>
        <v>Sedentary</v>
      </c>
      <c r="S218" t="str">
        <f t="shared" si="15"/>
        <v>Sedentary</v>
      </c>
    </row>
    <row r="219" spans="1:19" x14ac:dyDescent="0.3">
      <c r="A219">
        <v>4057192912</v>
      </c>
      <c r="B219" s="1">
        <v>42461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1440</v>
      </c>
      <c r="O219">
        <v>1776</v>
      </c>
      <c r="P219" t="str">
        <f t="shared" si="19"/>
        <v>Valid</v>
      </c>
      <c r="Q219" t="str">
        <f t="shared" si="14"/>
        <v>weekdays</v>
      </c>
      <c r="R219" t="str" cm="1">
        <f t="array" ref="R219">_xlfn.IFS(
N219=MAX(K219,L219,M219,N219),"Sedentary",M219
=MAX(K219,L219,M219,N219),"Lightly Active",
L219=MAX(K219,L219,M219,N219),"Fairly Active",
K219=MAX(K219,L219,M219,N219),"Very Active"
)</f>
        <v>Sedentary</v>
      </c>
      <c r="S219" t="str">
        <f t="shared" si="15"/>
        <v>Sedentary</v>
      </c>
    </row>
    <row r="220" spans="1:19" x14ac:dyDescent="0.3">
      <c r="A220">
        <v>4057192912</v>
      </c>
      <c r="B220" s="1">
        <v>42462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1440</v>
      </c>
      <c r="O220">
        <v>1776</v>
      </c>
      <c r="P220" t="str">
        <f t="shared" si="19"/>
        <v>Valid</v>
      </c>
      <c r="Q220" t="str">
        <f t="shared" si="14"/>
        <v>weekends</v>
      </c>
      <c r="R220" t="str" cm="1">
        <f t="array" ref="R220">_xlfn.IFS(
N220=MAX(K220,L220,M220,N220),"Sedentary",M220
=MAX(K220,L220,M220,N220),"Lightly Active",
L220=MAX(K220,L220,M220,N220),"Fairly Active",
K220=MAX(K220,L220,M220,N220),"Very Active"
)</f>
        <v>Sedentary</v>
      </c>
      <c r="S220" t="str">
        <f t="shared" si="15"/>
        <v>Sedentary</v>
      </c>
    </row>
    <row r="221" spans="1:19" x14ac:dyDescent="0.3">
      <c r="A221">
        <v>4057192912</v>
      </c>
      <c r="B221" s="1">
        <v>42463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1440</v>
      </c>
      <c r="O221">
        <v>1776</v>
      </c>
      <c r="P221" t="str">
        <f t="shared" si="19"/>
        <v>Valid</v>
      </c>
      <c r="Q221" t="str">
        <f t="shared" si="14"/>
        <v>weekends</v>
      </c>
      <c r="R221" t="str" cm="1">
        <f t="array" ref="R221">_xlfn.IFS(
N221=MAX(K221,L221,M221,N221),"Sedentary",M221
=MAX(K221,L221,M221,N221),"Lightly Active",
L221=MAX(K221,L221,M221,N221),"Fairly Active",
K221=MAX(K221,L221,M221,N221),"Very Active"
)</f>
        <v>Sedentary</v>
      </c>
      <c r="S221" t="str">
        <f t="shared" si="15"/>
        <v>Sedentary</v>
      </c>
    </row>
    <row r="222" spans="1:19" x14ac:dyDescent="0.3">
      <c r="A222">
        <v>4057192912</v>
      </c>
      <c r="B222" s="1">
        <v>42464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1440</v>
      </c>
      <c r="O222">
        <v>1776</v>
      </c>
      <c r="P222" t="str">
        <f t="shared" si="19"/>
        <v>Valid</v>
      </c>
      <c r="Q222" t="str">
        <f t="shared" si="14"/>
        <v>weekdays</v>
      </c>
      <c r="R222" t="str" cm="1">
        <f t="array" ref="R222">_xlfn.IFS(
N222=MAX(K222,L222,M222,N222),"Sedentary",M222
=MAX(K222,L222,M222,N222),"Lightly Active",
L222=MAX(K222,L222,M222,N222),"Fairly Active",
K222=MAX(K222,L222,M222,N222),"Very Active"
)</f>
        <v>Sedentary</v>
      </c>
      <c r="S222" t="str">
        <f t="shared" si="15"/>
        <v>Sedentary</v>
      </c>
    </row>
    <row r="223" spans="1:19" x14ac:dyDescent="0.3">
      <c r="A223">
        <v>4057192912</v>
      </c>
      <c r="B223" s="1">
        <v>42465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1440</v>
      </c>
      <c r="O223">
        <v>1776</v>
      </c>
      <c r="P223" t="str">
        <f t="shared" si="19"/>
        <v>Valid</v>
      </c>
      <c r="Q223" t="str">
        <f t="shared" si="14"/>
        <v>weekdays</v>
      </c>
      <c r="R223" t="str" cm="1">
        <f t="array" ref="R223">_xlfn.IFS(
N223=MAX(K223,L223,M223,N223),"Sedentary",M223
=MAX(K223,L223,M223,N223),"Lightly Active",
L223=MAX(K223,L223,M223,N223),"Fairly Active",
K223=MAX(K223,L223,M223,N223),"Very Active"
)</f>
        <v>Sedentary</v>
      </c>
      <c r="S223" t="str">
        <f t="shared" si="15"/>
        <v>Sedentary</v>
      </c>
    </row>
    <row r="224" spans="1:19" x14ac:dyDescent="0.3">
      <c r="A224">
        <v>4057192912</v>
      </c>
      <c r="B224" s="1">
        <v>42466</v>
      </c>
      <c r="C224">
        <v>18</v>
      </c>
      <c r="D224">
        <v>9.9999997764825804E-3</v>
      </c>
      <c r="E224">
        <v>9.9999997764825804E-3</v>
      </c>
      <c r="F224">
        <v>0</v>
      </c>
      <c r="G224">
        <v>0</v>
      </c>
      <c r="H224">
        <v>0</v>
      </c>
      <c r="I224">
        <v>9.9999997764825804E-3</v>
      </c>
      <c r="J224">
        <v>0</v>
      </c>
      <c r="K224">
        <v>0</v>
      </c>
      <c r="L224">
        <v>0</v>
      </c>
      <c r="M224">
        <v>2</v>
      </c>
      <c r="N224">
        <v>1438</v>
      </c>
      <c r="O224">
        <v>1780</v>
      </c>
      <c r="P224" t="str">
        <f t="shared" si="19"/>
        <v>Valid</v>
      </c>
      <c r="Q224" t="str">
        <f t="shared" si="14"/>
        <v>weekdays</v>
      </c>
      <c r="R224" t="str" cm="1">
        <f t="array" ref="R224">_xlfn.IFS(
N224=MAX(K224,L224,M224,N224),"Sedentary",M224
=MAX(K224,L224,M224,N224),"Lightly Active",
L224=MAX(K224,L224,M224,N224),"Fairly Active",
K224=MAX(K224,L224,M224,N224),"Very Active"
)</f>
        <v>Sedentary</v>
      </c>
      <c r="S224" t="str">
        <f t="shared" si="15"/>
        <v>Sedentary</v>
      </c>
    </row>
    <row r="225" spans="1:19" x14ac:dyDescent="0.3">
      <c r="A225">
        <v>4057192912</v>
      </c>
      <c r="B225" s="1">
        <v>42467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1439</v>
      </c>
      <c r="O225">
        <v>1778</v>
      </c>
      <c r="P225" t="str">
        <f t="shared" si="19"/>
        <v>Valid</v>
      </c>
      <c r="Q225" t="str">
        <f t="shared" si="14"/>
        <v>weekdays</v>
      </c>
      <c r="R225" t="str" cm="1">
        <f t="array" ref="R225">_xlfn.IFS(
N225=MAX(K225,L225,M225,N225),"Sedentary",M225
=MAX(K225,L225,M225,N225),"Lightly Active",
L225=MAX(K225,L225,M225,N225),"Fairly Active",
K225=MAX(K225,L225,M225,N225),"Very Active"
)</f>
        <v>Sedentary</v>
      </c>
      <c r="S225" t="str">
        <f t="shared" si="15"/>
        <v>Sedentary</v>
      </c>
    </row>
    <row r="226" spans="1:19" x14ac:dyDescent="0.3">
      <c r="A226">
        <v>4057192912</v>
      </c>
      <c r="B226" s="1">
        <v>42468</v>
      </c>
      <c r="C226">
        <v>8426</v>
      </c>
      <c r="D226">
        <v>6.1599998474121103</v>
      </c>
      <c r="E226">
        <v>6.1599998474121103</v>
      </c>
      <c r="F226">
        <v>0</v>
      </c>
      <c r="G226">
        <v>0.129999995231628</v>
      </c>
      <c r="H226">
        <v>5.4899997711181596</v>
      </c>
      <c r="I226">
        <v>0.54000002145767201</v>
      </c>
      <c r="J226">
        <v>0</v>
      </c>
      <c r="K226">
        <v>2</v>
      </c>
      <c r="L226">
        <v>120</v>
      </c>
      <c r="M226">
        <v>25</v>
      </c>
      <c r="N226">
        <v>1293</v>
      </c>
      <c r="O226">
        <v>2360</v>
      </c>
      <c r="P226" t="str">
        <f t="shared" si="19"/>
        <v>Valid</v>
      </c>
      <c r="Q226" t="str">
        <f t="shared" si="14"/>
        <v>weekdays</v>
      </c>
      <c r="R226" t="str" cm="1">
        <f t="array" ref="R226">_xlfn.IFS(
N226=MAX(K226,L226,M226,N226),"Sedentary",M226
=MAX(K226,L226,M226,N226),"Lightly Active",
L226=MAX(K226,L226,M226,N226),"Fairly Active",
K226=MAX(K226,L226,M226,N226),"Very Active"
)</f>
        <v>Sedentary</v>
      </c>
      <c r="S226" t="str">
        <f t="shared" si="15"/>
        <v>Sedentary</v>
      </c>
    </row>
    <row r="227" spans="1:19" x14ac:dyDescent="0.3">
      <c r="A227">
        <v>4057192912</v>
      </c>
      <c r="B227" s="1">
        <v>42469</v>
      </c>
      <c r="C227">
        <v>1650</v>
      </c>
      <c r="D227">
        <v>1.21000003814697</v>
      </c>
      <c r="E227">
        <v>1.21000003814697</v>
      </c>
      <c r="F227">
        <v>0</v>
      </c>
      <c r="G227">
        <v>0</v>
      </c>
      <c r="H227">
        <v>0</v>
      </c>
      <c r="I227">
        <v>1.21000003814697</v>
      </c>
      <c r="J227">
        <v>0</v>
      </c>
      <c r="K227">
        <v>0</v>
      </c>
      <c r="L227">
        <v>0</v>
      </c>
      <c r="M227">
        <v>60</v>
      </c>
      <c r="N227">
        <v>1380</v>
      </c>
      <c r="O227">
        <v>1952</v>
      </c>
      <c r="P227" t="str">
        <f t="shared" si="19"/>
        <v>Valid</v>
      </c>
      <c r="Q227" t="str">
        <f t="shared" si="14"/>
        <v>weekends</v>
      </c>
      <c r="R227" t="str" cm="1">
        <f t="array" ref="R227">_xlfn.IFS(
N227=MAX(K227,L227,M227,N227),"Sedentary",M227
=MAX(K227,L227,M227,N227),"Lightly Active",
L227=MAX(K227,L227,M227,N227),"Fairly Active",
K227=MAX(K227,L227,M227,N227),"Very Active"
)</f>
        <v>Sedentary</v>
      </c>
      <c r="S227" t="str">
        <f t="shared" si="15"/>
        <v>Sedentary</v>
      </c>
    </row>
    <row r="228" spans="1:19" x14ac:dyDescent="0.3">
      <c r="A228">
        <v>4057192912</v>
      </c>
      <c r="B228" s="1">
        <v>42470</v>
      </c>
      <c r="C228">
        <v>3434</v>
      </c>
      <c r="D228">
        <v>2.5099999904632599</v>
      </c>
      <c r="E228">
        <v>2.5099999904632599</v>
      </c>
      <c r="F228">
        <v>0</v>
      </c>
      <c r="G228">
        <v>7.0000000298023196E-2</v>
      </c>
      <c r="H228">
        <v>0.30000001192092901</v>
      </c>
      <c r="I228">
        <v>2.1400001049041699</v>
      </c>
      <c r="J228">
        <v>0</v>
      </c>
      <c r="K228">
        <v>1</v>
      </c>
      <c r="L228">
        <v>7</v>
      </c>
      <c r="M228">
        <v>108</v>
      </c>
      <c r="N228">
        <v>1324</v>
      </c>
      <c r="O228">
        <v>2101</v>
      </c>
      <c r="P228" t="str">
        <f t="shared" si="19"/>
        <v>Valid</v>
      </c>
      <c r="Q228" t="str">
        <f t="shared" si="14"/>
        <v>weekends</v>
      </c>
      <c r="R228" t="str" cm="1">
        <f t="array" ref="R228">_xlfn.IFS(
N228=MAX(K228,L228,M228,N228),"Sedentary",M228
=MAX(K228,L228,M228,N228),"Lightly Active",
L228=MAX(K228,L228,M228,N228),"Fairly Active",
K228=MAX(K228,L228,M228,N228),"Very Active"
)</f>
        <v>Sedentary</v>
      </c>
      <c r="S228" t="str">
        <f t="shared" si="15"/>
        <v>Sedentary</v>
      </c>
    </row>
    <row r="229" spans="1:19" x14ac:dyDescent="0.3">
      <c r="A229">
        <v>4057192912</v>
      </c>
      <c r="B229" s="1">
        <v>42471</v>
      </c>
      <c r="C229">
        <v>6801</v>
      </c>
      <c r="D229">
        <v>4.9800000190734899</v>
      </c>
      <c r="E229">
        <v>4.9800000190734899</v>
      </c>
      <c r="F229">
        <v>0</v>
      </c>
      <c r="G229">
        <v>0</v>
      </c>
      <c r="H229">
        <v>0</v>
      </c>
      <c r="I229">
        <v>4.9699997901916504</v>
      </c>
      <c r="J229">
        <v>0</v>
      </c>
      <c r="K229">
        <v>0</v>
      </c>
      <c r="L229">
        <v>0</v>
      </c>
      <c r="M229">
        <v>193</v>
      </c>
      <c r="N229">
        <v>1247</v>
      </c>
      <c r="O229">
        <v>2393</v>
      </c>
      <c r="P229" t="str">
        <f t="shared" si="19"/>
        <v>Valid</v>
      </c>
      <c r="Q229" t="str">
        <f t="shared" si="14"/>
        <v>weekdays</v>
      </c>
      <c r="R229" t="str" cm="1">
        <f t="array" ref="R229">_xlfn.IFS(
N229=MAX(K229,L229,M229,N229),"Sedentary",M229
=MAX(K229,L229,M229,N229),"Lightly Active",
L229=MAX(K229,L229,M229,N229),"Fairly Active",
K229=MAX(K229,L229,M229,N229),"Very Active"
)</f>
        <v>Sedentary</v>
      </c>
      <c r="S229" t="str">
        <f t="shared" si="15"/>
        <v>Sedentary</v>
      </c>
    </row>
    <row r="230" spans="1:19" x14ac:dyDescent="0.3">
      <c r="A230">
        <v>4057192912</v>
      </c>
      <c r="B230" s="1">
        <v>42472</v>
      </c>
      <c r="C230">
        <v>187</v>
      </c>
      <c r="D230">
        <v>0.140000000596046</v>
      </c>
      <c r="E230">
        <v>0.140000000596046</v>
      </c>
      <c r="F230">
        <v>0</v>
      </c>
      <c r="G230">
        <v>0</v>
      </c>
      <c r="H230">
        <v>0</v>
      </c>
      <c r="I230">
        <v>0.140000000596046</v>
      </c>
      <c r="J230">
        <v>0</v>
      </c>
      <c r="K230">
        <v>0</v>
      </c>
      <c r="L230">
        <v>0</v>
      </c>
      <c r="M230">
        <v>11</v>
      </c>
      <c r="N230">
        <v>400</v>
      </c>
      <c r="O230">
        <v>538</v>
      </c>
      <c r="P230" t="str">
        <f t="shared" si="19"/>
        <v>Valid</v>
      </c>
      <c r="Q230" t="str">
        <f t="shared" si="14"/>
        <v>weekdays</v>
      </c>
      <c r="R230" t="str" cm="1">
        <f t="array" ref="R230">_xlfn.IFS(
N230=MAX(K230,L230,M230,N230),"Sedentary",M230
=MAX(K230,L230,M230,N230),"Lightly Active",
L230=MAX(K230,L230,M230,N230),"Fairly Active",
K230=MAX(K230,L230,M230,N230),"Very Active"
)</f>
        <v>Sedentary</v>
      </c>
      <c r="S230" t="str">
        <f t="shared" si="15"/>
        <v>Sedentary</v>
      </c>
    </row>
    <row r="231" spans="1:19" x14ac:dyDescent="0.3">
      <c r="A231">
        <v>4319703577</v>
      </c>
      <c r="B231" s="1">
        <v>42458</v>
      </c>
      <c r="C231">
        <v>5643</v>
      </c>
      <c r="D231">
        <v>3.78999996185303</v>
      </c>
      <c r="E231">
        <v>3.78999996185303</v>
      </c>
      <c r="F231">
        <v>0</v>
      </c>
      <c r="G231">
        <v>0.230000004172325</v>
      </c>
      <c r="H231">
        <v>0.33000001311302202</v>
      </c>
      <c r="I231">
        <v>3.2300000190734899</v>
      </c>
      <c r="J231">
        <v>0</v>
      </c>
      <c r="K231">
        <v>3</v>
      </c>
      <c r="L231">
        <v>8</v>
      </c>
      <c r="M231">
        <v>199</v>
      </c>
      <c r="N231">
        <v>683</v>
      </c>
      <c r="O231">
        <v>1958</v>
      </c>
      <c r="P231" t="str">
        <f t="shared" si="19"/>
        <v>Valid</v>
      </c>
      <c r="Q231" t="str">
        <f t="shared" si="14"/>
        <v>weekdays</v>
      </c>
      <c r="R231" t="str" cm="1">
        <f t="array" ref="R231">_xlfn.IFS(
N231=MAX(K231,L231,M231,N231),"Sedentary",M231
=MAX(K231,L231,M231,N231),"Lightly Active",
L231=MAX(K231,L231,M231,N231),"Fairly Active",
K231=MAX(K231,L231,M231,N231),"Very Active"
)</f>
        <v>Sedentary</v>
      </c>
      <c r="S231" t="str">
        <f t="shared" si="15"/>
        <v>Sedentary</v>
      </c>
    </row>
    <row r="232" spans="1:19" x14ac:dyDescent="0.3">
      <c r="A232">
        <v>4319703577</v>
      </c>
      <c r="B232" s="1">
        <v>42459</v>
      </c>
      <c r="C232">
        <v>9043</v>
      </c>
      <c r="D232">
        <v>6.0700001716613796</v>
      </c>
      <c r="E232">
        <v>6.0700001716613796</v>
      </c>
      <c r="F232">
        <v>0</v>
      </c>
      <c r="G232">
        <v>0.25</v>
      </c>
      <c r="H232">
        <v>0.43000000715255698</v>
      </c>
      <c r="I232">
        <v>5.3699998855590803</v>
      </c>
      <c r="J232">
        <v>0</v>
      </c>
      <c r="K232">
        <v>4</v>
      </c>
      <c r="L232">
        <v>12</v>
      </c>
      <c r="M232">
        <v>244</v>
      </c>
      <c r="N232">
        <v>702</v>
      </c>
      <c r="O232">
        <v>2141</v>
      </c>
      <c r="P232" t="str">
        <f t="shared" si="19"/>
        <v>Valid</v>
      </c>
      <c r="Q232" t="str">
        <f t="shared" si="14"/>
        <v>weekdays</v>
      </c>
      <c r="R232" t="str" cm="1">
        <f t="array" ref="R232">_xlfn.IFS(
N232=MAX(K232,L232,M232,N232),"Sedentary",M232
=MAX(K232,L232,M232,N232),"Lightly Active",
L232=MAX(K232,L232,M232,N232),"Fairly Active",
K232=MAX(K232,L232,M232,N232),"Very Active"
)</f>
        <v>Sedentary</v>
      </c>
      <c r="S232" t="str">
        <f t="shared" si="15"/>
        <v>Sedentary</v>
      </c>
    </row>
    <row r="233" spans="1:19" x14ac:dyDescent="0.3">
      <c r="A233">
        <v>4319703577</v>
      </c>
      <c r="B233" s="1">
        <v>42460</v>
      </c>
      <c r="C233">
        <v>8144</v>
      </c>
      <c r="D233">
        <v>5.46000003814697</v>
      </c>
      <c r="E233">
        <v>5.46000003814697</v>
      </c>
      <c r="F233">
        <v>0</v>
      </c>
      <c r="G233">
        <v>0.25</v>
      </c>
      <c r="H233">
        <v>0.61000001430511497</v>
      </c>
      <c r="I233">
        <v>4.6100001335143999</v>
      </c>
      <c r="J233">
        <v>0</v>
      </c>
      <c r="K233">
        <v>4</v>
      </c>
      <c r="L233">
        <v>17</v>
      </c>
      <c r="M233">
        <v>247</v>
      </c>
      <c r="N233">
        <v>1125</v>
      </c>
      <c r="O233">
        <v>2129</v>
      </c>
      <c r="P233" t="str">
        <f t="shared" si="19"/>
        <v>Valid</v>
      </c>
      <c r="Q233" t="str">
        <f t="shared" si="14"/>
        <v>weekdays</v>
      </c>
      <c r="R233" t="str" cm="1">
        <f t="array" ref="R233">_xlfn.IFS(
N233=MAX(K233,L233,M233,N233),"Sedentary",M233
=MAX(K233,L233,M233,N233),"Lightly Active",
L233=MAX(K233,L233,M233,N233),"Fairly Active",
K233=MAX(K233,L233,M233,N233),"Very Active"
)</f>
        <v>Sedentary</v>
      </c>
      <c r="S233" t="str">
        <f t="shared" si="15"/>
        <v>Sedentary</v>
      </c>
    </row>
    <row r="234" spans="1:19" x14ac:dyDescent="0.3">
      <c r="A234">
        <v>4319703577</v>
      </c>
      <c r="B234" s="1">
        <v>42461</v>
      </c>
      <c r="C234">
        <v>9343</v>
      </c>
      <c r="D234">
        <v>6.2699999809265101</v>
      </c>
      <c r="E234">
        <v>6.2699999809265101</v>
      </c>
      <c r="F234">
        <v>0</v>
      </c>
      <c r="G234">
        <v>0.95999997854232799</v>
      </c>
      <c r="H234">
        <v>0.85000002384185802</v>
      </c>
      <c r="I234">
        <v>4.46000003814697</v>
      </c>
      <c r="J234">
        <v>0</v>
      </c>
      <c r="K234">
        <v>14</v>
      </c>
      <c r="L234">
        <v>20</v>
      </c>
      <c r="M234">
        <v>268</v>
      </c>
      <c r="N234">
        <v>654</v>
      </c>
      <c r="O234">
        <v>2216</v>
      </c>
      <c r="P234" t="str">
        <f t="shared" si="19"/>
        <v>Valid</v>
      </c>
      <c r="Q234" t="str">
        <f t="shared" si="14"/>
        <v>weekdays</v>
      </c>
      <c r="R234" t="str" cm="1">
        <f t="array" ref="R234">_xlfn.IFS(
N234=MAX(K234,L234,M234,N234),"Sedentary",M234
=MAX(K234,L234,M234,N234),"Lightly Active",
L234=MAX(K234,L234,M234,N234),"Fairly Active",
K234=MAX(K234,L234,M234,N234),"Very Active"
)</f>
        <v>Sedentary</v>
      </c>
      <c r="S234" t="str">
        <f t="shared" si="15"/>
        <v>Sedentary</v>
      </c>
    </row>
    <row r="235" spans="1:19" x14ac:dyDescent="0.3">
      <c r="A235">
        <v>4319703577</v>
      </c>
      <c r="B235" s="1">
        <v>42462</v>
      </c>
      <c r="C235">
        <v>8405</v>
      </c>
      <c r="D235">
        <v>5.6599998474121103</v>
      </c>
      <c r="E235">
        <v>5.6599998474121103</v>
      </c>
      <c r="F235">
        <v>0</v>
      </c>
      <c r="G235">
        <v>1.12999999523163</v>
      </c>
      <c r="H235">
        <v>0.18999999761581399</v>
      </c>
      <c r="I235">
        <v>4.3400001525878897</v>
      </c>
      <c r="J235">
        <v>0</v>
      </c>
      <c r="K235">
        <v>15</v>
      </c>
      <c r="L235">
        <v>4</v>
      </c>
      <c r="M235">
        <v>257</v>
      </c>
      <c r="N235">
        <v>621</v>
      </c>
      <c r="O235">
        <v>2154</v>
      </c>
      <c r="P235" t="str">
        <f t="shared" si="19"/>
        <v>Valid</v>
      </c>
      <c r="Q235" t="str">
        <f t="shared" si="14"/>
        <v>weekends</v>
      </c>
      <c r="R235" t="str" cm="1">
        <f t="array" ref="R235">_xlfn.IFS(
N235=MAX(K235,L235,M235,N235),"Sedentary",M235
=MAX(K235,L235,M235,N235),"Lightly Active",
L235=MAX(K235,L235,M235,N235),"Fairly Active",
K235=MAX(K235,L235,M235,N235),"Very Active"
)</f>
        <v>Sedentary</v>
      </c>
      <c r="S235" t="str">
        <f t="shared" si="15"/>
        <v>Sedentary</v>
      </c>
    </row>
    <row r="236" spans="1:19" x14ac:dyDescent="0.3">
      <c r="A236">
        <v>4319703577</v>
      </c>
      <c r="B236" s="1">
        <v>42463</v>
      </c>
      <c r="C236">
        <v>8223</v>
      </c>
      <c r="D236">
        <v>5.5199999809265101</v>
      </c>
      <c r="E236">
        <v>5.5199999809265101</v>
      </c>
      <c r="F236">
        <v>0</v>
      </c>
      <c r="G236">
        <v>0.80000001192092896</v>
      </c>
      <c r="H236">
        <v>1.5099999904632599</v>
      </c>
      <c r="I236">
        <v>3.21000003814697</v>
      </c>
      <c r="J236">
        <v>0</v>
      </c>
      <c r="K236">
        <v>12</v>
      </c>
      <c r="L236">
        <v>37</v>
      </c>
      <c r="M236">
        <v>257</v>
      </c>
      <c r="N236">
        <v>551</v>
      </c>
      <c r="O236">
        <v>2178</v>
      </c>
      <c r="P236" t="str">
        <f t="shared" si="19"/>
        <v>Valid</v>
      </c>
      <c r="Q236" t="str">
        <f t="shared" si="14"/>
        <v>weekends</v>
      </c>
      <c r="R236" t="str" cm="1">
        <f t="array" ref="R236">_xlfn.IFS(
N236=MAX(K236,L236,M236,N236),"Sedentary",M236
=MAX(K236,L236,M236,N236),"Lightly Active",
L236=MAX(K236,L236,M236,N236),"Fairly Active",
K236=MAX(K236,L236,M236,N236),"Very Active"
)</f>
        <v>Sedentary</v>
      </c>
      <c r="S236" t="str">
        <f t="shared" si="15"/>
        <v>Sedentary</v>
      </c>
    </row>
    <row r="237" spans="1:19" x14ac:dyDescent="0.3">
      <c r="A237">
        <v>4319703577</v>
      </c>
      <c r="B237" s="1">
        <v>42464</v>
      </c>
      <c r="C237">
        <v>10067</v>
      </c>
      <c r="D237">
        <v>6.7600002288818404</v>
      </c>
      <c r="E237">
        <v>6.7600002288818404</v>
      </c>
      <c r="F237">
        <v>0</v>
      </c>
      <c r="G237">
        <v>0.36000001430511502</v>
      </c>
      <c r="H237">
        <v>1.41999995708466</v>
      </c>
      <c r="I237">
        <v>4.9699997901916504</v>
      </c>
      <c r="J237">
        <v>0</v>
      </c>
      <c r="K237">
        <v>5</v>
      </c>
      <c r="L237">
        <v>39</v>
      </c>
      <c r="M237">
        <v>313</v>
      </c>
      <c r="N237">
        <v>578</v>
      </c>
      <c r="O237">
        <v>2308</v>
      </c>
      <c r="P237" t="str">
        <f t="shared" si="19"/>
        <v>Valid</v>
      </c>
      <c r="Q237" t="str">
        <f t="shared" si="14"/>
        <v>weekdays</v>
      </c>
      <c r="R237" t="str" cm="1">
        <f t="array" ref="R237">_xlfn.IFS(
N237=MAX(K237,L237,M237,N237),"Sedentary",M237
=MAX(K237,L237,M237,N237),"Lightly Active",
L237=MAX(K237,L237,M237,N237),"Fairly Active",
K237=MAX(K237,L237,M237,N237),"Very Active"
)</f>
        <v>Sedentary</v>
      </c>
      <c r="S237" t="str">
        <f t="shared" si="15"/>
        <v>Sedentary</v>
      </c>
    </row>
    <row r="238" spans="1:19" x14ac:dyDescent="0.3">
      <c r="A238">
        <v>4319703577</v>
      </c>
      <c r="B238" s="1">
        <v>42465</v>
      </c>
      <c r="C238">
        <v>8359</v>
      </c>
      <c r="D238">
        <v>5.6300001144409197</v>
      </c>
      <c r="E238">
        <v>5.6300001144409197</v>
      </c>
      <c r="F238">
        <v>0</v>
      </c>
      <c r="G238">
        <v>0.230000004172325</v>
      </c>
      <c r="H238">
        <v>0.52999997138977095</v>
      </c>
      <c r="I238">
        <v>4.8699998855590803</v>
      </c>
      <c r="J238">
        <v>0</v>
      </c>
      <c r="K238">
        <v>3</v>
      </c>
      <c r="L238">
        <v>14</v>
      </c>
      <c r="M238">
        <v>311</v>
      </c>
      <c r="N238">
        <v>638</v>
      </c>
      <c r="O238">
        <v>2201</v>
      </c>
      <c r="P238" t="str">
        <f t="shared" si="19"/>
        <v>Valid</v>
      </c>
      <c r="Q238" t="str">
        <f t="shared" si="14"/>
        <v>weekdays</v>
      </c>
      <c r="R238" t="str" cm="1">
        <f t="array" ref="R238">_xlfn.IFS(
N238=MAX(K238,L238,M238,N238),"Sedentary",M238
=MAX(K238,L238,M238,N238),"Lightly Active",
L238=MAX(K238,L238,M238,N238),"Fairly Active",
K238=MAX(K238,L238,M238,N238),"Very Active"
)</f>
        <v>Sedentary</v>
      </c>
      <c r="S238" t="str">
        <f t="shared" si="15"/>
        <v>Sedentary</v>
      </c>
    </row>
    <row r="239" spans="1:19" x14ac:dyDescent="0.3">
      <c r="A239">
        <v>4319703577</v>
      </c>
      <c r="B239" s="1">
        <v>42466</v>
      </c>
      <c r="C239">
        <v>10946</v>
      </c>
      <c r="D239">
        <v>7.3499999046325701</v>
      </c>
      <c r="E239">
        <v>7.3499999046325701</v>
      </c>
      <c r="F239">
        <v>0</v>
      </c>
      <c r="G239">
        <v>0.54000002145767201</v>
      </c>
      <c r="H239">
        <v>2.0899999141693102</v>
      </c>
      <c r="I239">
        <v>4.7199997901916504</v>
      </c>
      <c r="J239">
        <v>0</v>
      </c>
      <c r="K239">
        <v>8</v>
      </c>
      <c r="L239">
        <v>51</v>
      </c>
      <c r="M239">
        <v>308</v>
      </c>
      <c r="N239">
        <v>569</v>
      </c>
      <c r="O239">
        <v>2341</v>
      </c>
      <c r="P239" t="str">
        <f t="shared" si="19"/>
        <v>Valid</v>
      </c>
      <c r="Q239" t="str">
        <f t="shared" si="14"/>
        <v>weekdays</v>
      </c>
      <c r="R239" t="str" cm="1">
        <f t="array" ref="R239">_xlfn.IFS(
N239=MAX(K239,L239,M239,N239),"Sedentary",M239
=MAX(K239,L239,M239,N239),"Lightly Active",
L239=MAX(K239,L239,M239,N239),"Fairly Active",
K239=MAX(K239,L239,M239,N239),"Very Active"
)</f>
        <v>Sedentary</v>
      </c>
      <c r="S239" t="str">
        <f t="shared" si="15"/>
        <v>Sedentary</v>
      </c>
    </row>
    <row r="240" spans="1:19" x14ac:dyDescent="0.3">
      <c r="A240">
        <v>4319703577</v>
      </c>
      <c r="B240" s="1">
        <v>42467</v>
      </c>
      <c r="C240">
        <v>9130</v>
      </c>
      <c r="D240">
        <v>6.1500000953674299</v>
      </c>
      <c r="E240">
        <v>6.1500000953674299</v>
      </c>
      <c r="F240">
        <v>0</v>
      </c>
      <c r="G240">
        <v>0.5</v>
      </c>
      <c r="H240">
        <v>0.37999999523162797</v>
      </c>
      <c r="I240">
        <v>5.2699999809265101</v>
      </c>
      <c r="J240">
        <v>0</v>
      </c>
      <c r="K240">
        <v>7</v>
      </c>
      <c r="L240">
        <v>11</v>
      </c>
      <c r="M240">
        <v>304</v>
      </c>
      <c r="N240">
        <v>668</v>
      </c>
      <c r="O240">
        <v>2236</v>
      </c>
      <c r="P240" t="str">
        <f t="shared" si="19"/>
        <v>Valid</v>
      </c>
      <c r="Q240" t="str">
        <f t="shared" si="14"/>
        <v>weekdays</v>
      </c>
      <c r="R240" t="str" cm="1">
        <f t="array" ref="R240">_xlfn.IFS(
N240=MAX(K240,L240,M240,N240),"Sedentary",M240
=MAX(K240,L240,M240,N240),"Lightly Active",
L240=MAX(K240,L240,M240,N240),"Fairly Active",
K240=MAX(K240,L240,M240,N240),"Very Active"
)</f>
        <v>Sedentary</v>
      </c>
      <c r="S240" t="str">
        <f t="shared" si="15"/>
        <v>Sedentary</v>
      </c>
    </row>
    <row r="241" spans="1:19" x14ac:dyDescent="0.3">
      <c r="A241">
        <v>4319703577</v>
      </c>
      <c r="B241" s="1">
        <v>42468</v>
      </c>
      <c r="C241">
        <v>6544</v>
      </c>
      <c r="D241">
        <v>4.4099998474121103</v>
      </c>
      <c r="E241">
        <v>4.4099998474121103</v>
      </c>
      <c r="F241">
        <v>0</v>
      </c>
      <c r="G241">
        <v>0.28999999165535001</v>
      </c>
      <c r="H241">
        <v>0.259999990463257</v>
      </c>
      <c r="I241">
        <v>3.8599998950958301</v>
      </c>
      <c r="J241">
        <v>0</v>
      </c>
      <c r="K241">
        <v>4</v>
      </c>
      <c r="L241">
        <v>6</v>
      </c>
      <c r="M241">
        <v>276</v>
      </c>
      <c r="N241">
        <v>1132</v>
      </c>
      <c r="O241">
        <v>2069</v>
      </c>
      <c r="P241" t="str">
        <f t="shared" si="19"/>
        <v>Valid</v>
      </c>
      <c r="Q241" t="str">
        <f t="shared" si="14"/>
        <v>weekdays</v>
      </c>
      <c r="R241" t="str" cm="1">
        <f t="array" ref="R241">_xlfn.IFS(
N241=MAX(K241,L241,M241,N241),"Sedentary",M241
=MAX(K241,L241,M241,N241),"Lightly Active",
L241=MAX(K241,L241,M241,N241),"Fairly Active",
K241=MAX(K241,L241,M241,N241),"Very Active"
)</f>
        <v>Sedentary</v>
      </c>
      <c r="S241" t="str">
        <f t="shared" si="15"/>
        <v>Sedentary</v>
      </c>
    </row>
    <row r="242" spans="1:19" x14ac:dyDescent="0.3">
      <c r="A242">
        <v>4319703577</v>
      </c>
      <c r="B242" s="1">
        <v>42469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1440</v>
      </c>
      <c r="O242">
        <v>0</v>
      </c>
      <c r="P242" t="str">
        <f t="shared" ref="P242:P291" si="20">IF(AND(C242=0,D242=0,L242&gt;0),"Invalid","Valid")</f>
        <v>Valid</v>
      </c>
      <c r="Q242" t="str">
        <f t="shared" si="14"/>
        <v>weekends</v>
      </c>
      <c r="R242" t="str" cm="1">
        <f t="array" ref="R242">_xlfn.IFS(
N242=MAX(K242,L242,M242,N242),"Sedentary",M242
=MAX(K242,L242,M242,N242),"Lightly Active",
L242=MAX(K242,L242,M242,N242),"Fairly Active",
K242=MAX(K242,L242,M242,N242),"Very Active"
)</f>
        <v>Sedentary</v>
      </c>
      <c r="S242" t="str">
        <f t="shared" si="15"/>
        <v>Sedentary</v>
      </c>
    </row>
    <row r="243" spans="1:19" x14ac:dyDescent="0.3">
      <c r="A243">
        <v>4388161847</v>
      </c>
      <c r="B243" s="1">
        <v>42458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1440</v>
      </c>
      <c r="O243">
        <v>1878</v>
      </c>
      <c r="P243" t="str">
        <f t="shared" si="20"/>
        <v>Valid</v>
      </c>
      <c r="Q243" t="str">
        <f t="shared" si="14"/>
        <v>weekdays</v>
      </c>
      <c r="R243" t="str" cm="1">
        <f t="array" ref="R243">_xlfn.IFS(
N243=MAX(K243,L243,M243,N243),"Sedentary",M243
=MAX(K243,L243,M243,N243),"Lightly Active",
L243=MAX(K243,L243,M243,N243),"Fairly Active",
K243=MAX(K243,L243,M243,N243),"Very Active"
)</f>
        <v>Sedentary</v>
      </c>
      <c r="S243" t="str">
        <f t="shared" si="15"/>
        <v>Sedentary</v>
      </c>
    </row>
    <row r="244" spans="1:19" x14ac:dyDescent="0.3">
      <c r="A244">
        <v>4388161847</v>
      </c>
      <c r="B244" s="1">
        <v>42459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1440</v>
      </c>
      <c r="O244">
        <v>1878</v>
      </c>
      <c r="P244" t="str">
        <f t="shared" si="20"/>
        <v>Valid</v>
      </c>
      <c r="Q244" t="str">
        <f t="shared" si="14"/>
        <v>weekdays</v>
      </c>
      <c r="R244" t="str" cm="1">
        <f t="array" ref="R244">_xlfn.IFS(
N244=MAX(K244,L244,M244,N244),"Sedentary",M244
=MAX(K244,L244,M244,N244),"Lightly Active",
L244=MAX(K244,L244,M244,N244),"Fairly Active",
K244=MAX(K244,L244,M244,N244),"Very Active"
)</f>
        <v>Sedentary</v>
      </c>
      <c r="S244" t="str">
        <f t="shared" si="15"/>
        <v>Sedentary</v>
      </c>
    </row>
    <row r="245" spans="1:19" x14ac:dyDescent="0.3">
      <c r="A245">
        <v>4388161847</v>
      </c>
      <c r="B245" s="1">
        <v>42460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1440</v>
      </c>
      <c r="O245">
        <v>1878</v>
      </c>
      <c r="P245" t="str">
        <f t="shared" si="20"/>
        <v>Valid</v>
      </c>
      <c r="Q245" t="str">
        <f t="shared" si="14"/>
        <v>weekdays</v>
      </c>
      <c r="R245" t="str" cm="1">
        <f t="array" ref="R245">_xlfn.IFS(
N245=MAX(K245,L245,M245,N245),"Sedentary",M245
=MAX(K245,L245,M245,N245),"Lightly Active",
L245=MAX(K245,L245,M245,N245),"Fairly Active",
K245=MAX(K245,L245,M245,N245),"Very Active"
)</f>
        <v>Sedentary</v>
      </c>
      <c r="S245" t="str">
        <f t="shared" si="15"/>
        <v>Sedentary</v>
      </c>
    </row>
    <row r="246" spans="1:19" x14ac:dyDescent="0.3">
      <c r="A246">
        <v>4388161847</v>
      </c>
      <c r="B246" s="1">
        <v>42461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1440</v>
      </c>
      <c r="O246">
        <v>1878</v>
      </c>
      <c r="P246" t="str">
        <f t="shared" si="20"/>
        <v>Valid</v>
      </c>
      <c r="Q246" t="str">
        <f t="shared" si="14"/>
        <v>weekdays</v>
      </c>
      <c r="R246" t="str" cm="1">
        <f t="array" ref="R246">_xlfn.IFS(
N246=MAX(K246,L246,M246,N246),"Sedentary",M246
=MAX(K246,L246,M246,N246),"Lightly Active",
L246=MAX(K246,L246,M246,N246),"Fairly Active",
K246=MAX(K246,L246,M246,N246),"Very Active"
)</f>
        <v>Sedentary</v>
      </c>
      <c r="S246" t="str">
        <f t="shared" si="15"/>
        <v>Sedentary</v>
      </c>
    </row>
    <row r="247" spans="1:19" x14ac:dyDescent="0.3">
      <c r="A247">
        <v>4388161847</v>
      </c>
      <c r="B247" s="1">
        <v>42462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1440</v>
      </c>
      <c r="O247">
        <v>1878</v>
      </c>
      <c r="P247" t="str">
        <f t="shared" si="20"/>
        <v>Valid</v>
      </c>
      <c r="Q247" t="str">
        <f t="shared" si="14"/>
        <v>weekends</v>
      </c>
      <c r="R247" t="str" cm="1">
        <f t="array" ref="R247">_xlfn.IFS(
N247=MAX(K247,L247,M247,N247),"Sedentary",M247
=MAX(K247,L247,M247,N247),"Lightly Active",
L247=MAX(K247,L247,M247,N247),"Fairly Active",
K247=MAX(K247,L247,M247,N247),"Very Active"
)</f>
        <v>Sedentary</v>
      </c>
      <c r="S247" t="str">
        <f t="shared" si="15"/>
        <v>Sedentary</v>
      </c>
    </row>
    <row r="248" spans="1:19" x14ac:dyDescent="0.3">
      <c r="A248">
        <v>4388161847</v>
      </c>
      <c r="B248" s="1">
        <v>42463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1440</v>
      </c>
      <c r="O248">
        <v>1878</v>
      </c>
      <c r="P248" t="str">
        <f t="shared" si="20"/>
        <v>Valid</v>
      </c>
      <c r="Q248" t="str">
        <f t="shared" si="14"/>
        <v>weekends</v>
      </c>
      <c r="R248" t="str" cm="1">
        <f t="array" ref="R248">_xlfn.IFS(
N248=MAX(K248,L248,M248,N248),"Sedentary",M248
=MAX(K248,L248,M248,N248),"Lightly Active",
L248=MAX(K248,L248,M248,N248),"Fairly Active",
K248=MAX(K248,L248,M248,N248),"Very Active"
)</f>
        <v>Sedentary</v>
      </c>
      <c r="S248" t="str">
        <f t="shared" si="15"/>
        <v>Sedentary</v>
      </c>
    </row>
    <row r="249" spans="1:19" x14ac:dyDescent="0.3">
      <c r="A249">
        <v>4388161847</v>
      </c>
      <c r="B249" s="1">
        <v>42464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1440</v>
      </c>
      <c r="O249">
        <v>1878</v>
      </c>
      <c r="P249" t="str">
        <f t="shared" si="20"/>
        <v>Valid</v>
      </c>
      <c r="Q249" t="str">
        <f t="shared" si="14"/>
        <v>weekdays</v>
      </c>
      <c r="R249" t="str" cm="1">
        <f t="array" ref="R249">_xlfn.IFS(
N249=MAX(K249,L249,M249,N249),"Sedentary",M249
=MAX(K249,L249,M249,N249),"Lightly Active",
L249=MAX(K249,L249,M249,N249),"Fairly Active",
K249=MAX(K249,L249,M249,N249),"Very Active"
)</f>
        <v>Sedentary</v>
      </c>
      <c r="S249" t="str">
        <f t="shared" si="15"/>
        <v>Sedentary</v>
      </c>
    </row>
    <row r="250" spans="1:19" x14ac:dyDescent="0.3">
      <c r="A250">
        <v>4388161847</v>
      </c>
      <c r="B250" s="1">
        <v>42465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994</v>
      </c>
      <c r="O250">
        <v>1296</v>
      </c>
      <c r="P250" t="str">
        <f t="shared" si="20"/>
        <v>Valid</v>
      </c>
      <c r="Q250" t="str">
        <f t="shared" si="14"/>
        <v>weekdays</v>
      </c>
      <c r="R250" t="str" cm="1">
        <f t="array" ref="R250">_xlfn.IFS(
N250=MAX(K250,L250,M250,N250),"Sedentary",M250
=MAX(K250,L250,M250,N250),"Lightly Active",
L250=MAX(K250,L250,M250,N250),"Fairly Active",
K250=MAX(K250,L250,M250,N250),"Very Active"
)</f>
        <v>Sedentary</v>
      </c>
      <c r="S250" t="str">
        <f t="shared" si="15"/>
        <v>Sedentary</v>
      </c>
    </row>
    <row r="251" spans="1:19" x14ac:dyDescent="0.3">
      <c r="A251">
        <v>4445114986</v>
      </c>
      <c r="B251" s="1">
        <v>42458</v>
      </c>
      <c r="C251">
        <v>2303</v>
      </c>
      <c r="D251">
        <v>1.54999995231628</v>
      </c>
      <c r="E251">
        <v>1.54999995231628</v>
      </c>
      <c r="F251">
        <v>0</v>
      </c>
      <c r="G251">
        <v>0</v>
      </c>
      <c r="H251">
        <v>0</v>
      </c>
      <c r="I251">
        <v>1.54999995231628</v>
      </c>
      <c r="J251">
        <v>0</v>
      </c>
      <c r="K251">
        <v>0</v>
      </c>
      <c r="L251">
        <v>0</v>
      </c>
      <c r="M251">
        <v>155</v>
      </c>
      <c r="N251">
        <v>807</v>
      </c>
      <c r="O251">
        <v>2010</v>
      </c>
      <c r="P251" t="str">
        <f t="shared" si="20"/>
        <v>Valid</v>
      </c>
      <c r="Q251" t="str">
        <f t="shared" si="14"/>
        <v>weekdays</v>
      </c>
      <c r="R251" t="str" cm="1">
        <f t="array" ref="R251">_xlfn.IFS(
N251=MAX(K251,L251,M251,N251),"Sedentary",M251
=MAX(K251,L251,M251,N251),"Lightly Active",
L251=MAX(K251,L251,M251,N251),"Fairly Active",
K251=MAX(K251,L251,M251,N251),"Very Active"
)</f>
        <v>Sedentary</v>
      </c>
      <c r="S251" t="str">
        <f t="shared" si="15"/>
        <v>Sedentary</v>
      </c>
    </row>
    <row r="252" spans="1:19" x14ac:dyDescent="0.3">
      <c r="A252">
        <v>4445114986</v>
      </c>
      <c r="B252" s="1">
        <v>42459</v>
      </c>
      <c r="C252">
        <v>2600</v>
      </c>
      <c r="D252">
        <v>1.7400000095367401</v>
      </c>
      <c r="E252">
        <v>1.7400000095367401</v>
      </c>
      <c r="F252">
        <v>0</v>
      </c>
      <c r="G252">
        <v>0</v>
      </c>
      <c r="H252">
        <v>0</v>
      </c>
      <c r="I252">
        <v>1.7400000095367401</v>
      </c>
      <c r="J252">
        <v>0</v>
      </c>
      <c r="K252">
        <v>0</v>
      </c>
      <c r="L252">
        <v>0</v>
      </c>
      <c r="M252">
        <v>163</v>
      </c>
      <c r="N252">
        <v>1277</v>
      </c>
      <c r="O252">
        <v>2032</v>
      </c>
      <c r="P252" t="str">
        <f t="shared" si="20"/>
        <v>Valid</v>
      </c>
      <c r="Q252" t="str">
        <f t="shared" si="14"/>
        <v>weekdays</v>
      </c>
      <c r="R252" t="str" cm="1">
        <f t="array" ref="R252">_xlfn.IFS(
N252=MAX(K252,L252,M252,N252),"Sedentary",M252
=MAX(K252,L252,M252,N252),"Lightly Active",
L252=MAX(K252,L252,M252,N252),"Fairly Active",
K252=MAX(K252,L252,M252,N252),"Very Active"
)</f>
        <v>Sedentary</v>
      </c>
      <c r="S252" t="str">
        <f t="shared" si="15"/>
        <v>Sedentary</v>
      </c>
    </row>
    <row r="253" spans="1:19" x14ac:dyDescent="0.3">
      <c r="A253">
        <v>4445114986</v>
      </c>
      <c r="B253" s="1">
        <v>42460</v>
      </c>
      <c r="C253">
        <v>4804</v>
      </c>
      <c r="D253">
        <v>3.2200000286102299</v>
      </c>
      <c r="E253">
        <v>3.2200000286102299</v>
      </c>
      <c r="F253">
        <v>0</v>
      </c>
      <c r="G253">
        <v>0</v>
      </c>
      <c r="H253">
        <v>0</v>
      </c>
      <c r="I253">
        <v>3.2200000286102299</v>
      </c>
      <c r="J253">
        <v>0</v>
      </c>
      <c r="K253">
        <v>0</v>
      </c>
      <c r="L253">
        <v>0</v>
      </c>
      <c r="M253">
        <v>238</v>
      </c>
      <c r="N253">
        <v>786</v>
      </c>
      <c r="O253">
        <v>2227</v>
      </c>
      <c r="P253" t="str">
        <f t="shared" si="20"/>
        <v>Valid</v>
      </c>
      <c r="Q253" t="str">
        <f t="shared" si="14"/>
        <v>weekdays</v>
      </c>
      <c r="R253" t="str" cm="1">
        <f t="array" ref="R253">_xlfn.IFS(
N253=MAX(K253,L253,M253,N253),"Sedentary",M253
=MAX(K253,L253,M253,N253),"Lightly Active",
L253=MAX(K253,L253,M253,N253),"Fairly Active",
K253=MAX(K253,L253,M253,N253),"Very Active"
)</f>
        <v>Sedentary</v>
      </c>
      <c r="S253" t="str">
        <f t="shared" si="15"/>
        <v>Sedentary</v>
      </c>
    </row>
    <row r="254" spans="1:19" x14ac:dyDescent="0.3">
      <c r="A254">
        <v>4445114986</v>
      </c>
      <c r="B254" s="1">
        <v>42461</v>
      </c>
      <c r="C254">
        <v>3271</v>
      </c>
      <c r="D254">
        <v>2.1900000572204599</v>
      </c>
      <c r="E254">
        <v>2.1900000572204599</v>
      </c>
      <c r="F254">
        <v>0</v>
      </c>
      <c r="G254">
        <v>0</v>
      </c>
      <c r="H254">
        <v>0</v>
      </c>
      <c r="I254">
        <v>2.1900000572204599</v>
      </c>
      <c r="J254">
        <v>0</v>
      </c>
      <c r="K254">
        <v>0</v>
      </c>
      <c r="L254">
        <v>0</v>
      </c>
      <c r="M254">
        <v>205</v>
      </c>
      <c r="N254">
        <v>898</v>
      </c>
      <c r="O254">
        <v>2133</v>
      </c>
      <c r="P254" t="str">
        <f t="shared" si="20"/>
        <v>Valid</v>
      </c>
      <c r="Q254" t="str">
        <f t="shared" si="14"/>
        <v>weekdays</v>
      </c>
      <c r="R254" t="str" cm="1">
        <f t="array" ref="R254">_xlfn.IFS(
N254=MAX(K254,L254,M254,N254),"Sedentary",M254
=MAX(K254,L254,M254,N254),"Lightly Active",
L254=MAX(K254,L254,M254,N254),"Fairly Active",
K254=MAX(K254,L254,M254,N254),"Very Active"
)</f>
        <v>Sedentary</v>
      </c>
      <c r="S254" t="str">
        <f t="shared" si="15"/>
        <v>Sedentary</v>
      </c>
    </row>
    <row r="255" spans="1:19" x14ac:dyDescent="0.3">
      <c r="A255">
        <v>4445114986</v>
      </c>
      <c r="B255" s="1">
        <v>42462</v>
      </c>
      <c r="C255">
        <v>5406</v>
      </c>
      <c r="D255">
        <v>3.6300001144409202</v>
      </c>
      <c r="E255">
        <v>3.6300001144409202</v>
      </c>
      <c r="F255">
        <v>0</v>
      </c>
      <c r="G255">
        <v>0</v>
      </c>
      <c r="H255">
        <v>0</v>
      </c>
      <c r="I255">
        <v>3.6099998950958301</v>
      </c>
      <c r="J255">
        <v>0</v>
      </c>
      <c r="K255">
        <v>0</v>
      </c>
      <c r="L255">
        <v>0</v>
      </c>
      <c r="M255">
        <v>273</v>
      </c>
      <c r="N255">
        <v>672</v>
      </c>
      <c r="O255">
        <v>2317</v>
      </c>
      <c r="P255" t="str">
        <f t="shared" si="20"/>
        <v>Valid</v>
      </c>
      <c r="Q255" t="str">
        <f t="shared" si="14"/>
        <v>weekends</v>
      </c>
      <c r="R255" t="str" cm="1">
        <f t="array" ref="R255">_xlfn.IFS(
N255=MAX(K255,L255,M255,N255),"Sedentary",M255
=MAX(K255,L255,M255,N255),"Lightly Active",
L255=MAX(K255,L255,M255,N255),"Fairly Active",
K255=MAX(K255,L255,M255,N255),"Very Active"
)</f>
        <v>Sedentary</v>
      </c>
      <c r="S255" t="str">
        <f t="shared" si="15"/>
        <v>Sedentary</v>
      </c>
    </row>
    <row r="256" spans="1:19" x14ac:dyDescent="0.3">
      <c r="A256">
        <v>4445114986</v>
      </c>
      <c r="B256" s="1">
        <v>42463</v>
      </c>
      <c r="C256">
        <v>3146</v>
      </c>
      <c r="D256">
        <v>2.1099998950958301</v>
      </c>
      <c r="E256">
        <v>2.1099998950958301</v>
      </c>
      <c r="F256">
        <v>0</v>
      </c>
      <c r="G256">
        <v>0</v>
      </c>
      <c r="H256">
        <v>0</v>
      </c>
      <c r="I256">
        <v>2.1099998950958301</v>
      </c>
      <c r="J256">
        <v>0</v>
      </c>
      <c r="K256">
        <v>0</v>
      </c>
      <c r="L256">
        <v>0</v>
      </c>
      <c r="M256">
        <v>171</v>
      </c>
      <c r="N256">
        <v>1269</v>
      </c>
      <c r="O256">
        <v>2058</v>
      </c>
      <c r="P256" t="str">
        <f t="shared" si="20"/>
        <v>Valid</v>
      </c>
      <c r="Q256" t="str">
        <f t="shared" si="14"/>
        <v>weekends</v>
      </c>
      <c r="R256" t="str" cm="1">
        <f t="array" ref="R256">_xlfn.IFS(
N256=MAX(K256,L256,M256,N256),"Sedentary",M256
=MAX(K256,L256,M256,N256),"Lightly Active",
L256=MAX(K256,L256,M256,N256),"Fairly Active",
K256=MAX(K256,L256,M256,N256),"Very Active"
)</f>
        <v>Sedentary</v>
      </c>
      <c r="S256" t="str">
        <f t="shared" si="15"/>
        <v>Sedentary</v>
      </c>
    </row>
    <row r="257" spans="1:19" x14ac:dyDescent="0.3">
      <c r="A257">
        <v>4445114986</v>
      </c>
      <c r="B257" s="1">
        <v>42464</v>
      </c>
      <c r="C257">
        <v>2422</v>
      </c>
      <c r="D257">
        <v>1.62999999523163</v>
      </c>
      <c r="E257">
        <v>1.62999999523163</v>
      </c>
      <c r="F257">
        <v>0</v>
      </c>
      <c r="G257">
        <v>0</v>
      </c>
      <c r="H257">
        <v>0</v>
      </c>
      <c r="I257">
        <v>1.62999999523163</v>
      </c>
      <c r="J257">
        <v>0</v>
      </c>
      <c r="K257">
        <v>0</v>
      </c>
      <c r="L257">
        <v>0</v>
      </c>
      <c r="M257">
        <v>110</v>
      </c>
      <c r="N257">
        <v>1330</v>
      </c>
      <c r="O257">
        <v>1935</v>
      </c>
      <c r="P257" t="str">
        <f t="shared" si="20"/>
        <v>Valid</v>
      </c>
      <c r="Q257" t="str">
        <f t="shared" si="14"/>
        <v>weekdays</v>
      </c>
      <c r="R257" t="str" cm="1">
        <f t="array" ref="R257">_xlfn.IFS(
N257=MAX(K257,L257,M257,N257),"Sedentary",M257
=MAX(K257,L257,M257,N257),"Lightly Active",
L257=MAX(K257,L257,M257,N257),"Fairly Active",
K257=MAX(K257,L257,M257,N257),"Very Active"
)</f>
        <v>Sedentary</v>
      </c>
      <c r="S257" t="str">
        <f t="shared" si="15"/>
        <v>Sedentary</v>
      </c>
    </row>
    <row r="258" spans="1:19" x14ac:dyDescent="0.3">
      <c r="A258">
        <v>4445114986</v>
      </c>
      <c r="B258" s="1">
        <v>42465</v>
      </c>
      <c r="C258">
        <v>4239</v>
      </c>
      <c r="D258">
        <v>2.8399999141693102</v>
      </c>
      <c r="E258">
        <v>2.8399999141693102</v>
      </c>
      <c r="F258">
        <v>0</v>
      </c>
      <c r="G258">
        <v>5.9999998658895499E-2</v>
      </c>
      <c r="H258">
        <v>0.239999994635582</v>
      </c>
      <c r="I258">
        <v>2.5299999713897701</v>
      </c>
      <c r="J258">
        <v>0</v>
      </c>
      <c r="K258">
        <v>1</v>
      </c>
      <c r="L258">
        <v>6</v>
      </c>
      <c r="M258">
        <v>235</v>
      </c>
      <c r="N258">
        <v>702</v>
      </c>
      <c r="O258">
        <v>2217</v>
      </c>
      <c r="P258" t="str">
        <f t="shared" si="20"/>
        <v>Valid</v>
      </c>
      <c r="Q258" t="str">
        <f t="shared" si="14"/>
        <v>weekdays</v>
      </c>
      <c r="R258" t="str" cm="1">
        <f t="array" ref="R258">_xlfn.IFS(
N258=MAX(K258,L258,M258,N258),"Sedentary",M258
=MAX(K258,L258,M258,N258),"Lightly Active",
L258=MAX(K258,L258,M258,N258),"Fairly Active",
K258=MAX(K258,L258,M258,N258),"Very Active"
)</f>
        <v>Sedentary</v>
      </c>
      <c r="S258" t="str">
        <f t="shared" si="15"/>
        <v>Sedentary</v>
      </c>
    </row>
    <row r="259" spans="1:19" x14ac:dyDescent="0.3">
      <c r="A259">
        <v>4445114986</v>
      </c>
      <c r="B259" s="1">
        <v>42466</v>
      </c>
      <c r="C259">
        <v>6911</v>
      </c>
      <c r="D259">
        <v>4.7800002098083496</v>
      </c>
      <c r="E259">
        <v>4.7800002098083496</v>
      </c>
      <c r="F259">
        <v>0</v>
      </c>
      <c r="G259">
        <v>2.3199999332428001</v>
      </c>
      <c r="H259">
        <v>0.10000000149011599</v>
      </c>
      <c r="I259">
        <v>2.3599998950958301</v>
      </c>
      <c r="J259">
        <v>0</v>
      </c>
      <c r="K259">
        <v>28</v>
      </c>
      <c r="L259">
        <v>2</v>
      </c>
      <c r="M259">
        <v>215</v>
      </c>
      <c r="N259">
        <v>745</v>
      </c>
      <c r="O259">
        <v>2374</v>
      </c>
      <c r="P259" t="str">
        <f t="shared" si="20"/>
        <v>Valid</v>
      </c>
      <c r="Q259" t="str">
        <f t="shared" ref="Q259:Q322" si="21">IF(WEEKDAY(B259,2)&gt;5,"weekends","weekdays")</f>
        <v>weekdays</v>
      </c>
      <c r="R259" t="str" cm="1">
        <f t="array" ref="R259">_xlfn.IFS(
N259=MAX(K259,L259,M259,N259),"Sedentary",M259
=MAX(K259,L259,M259,N259),"Lightly Active",
L259=MAX(K259,L259,M259,N259),"Fairly Active",
K259=MAX(K259,L259,M259,N259),"Very Active"
)</f>
        <v>Sedentary</v>
      </c>
      <c r="S259" t="str">
        <f t="shared" ref="S259:S322" si="22">IF(N260&gt;(K260+L260+M260),"Sedentary","Active")</f>
        <v>Sedentary</v>
      </c>
    </row>
    <row r="260" spans="1:19" x14ac:dyDescent="0.3">
      <c r="A260">
        <v>4445114986</v>
      </c>
      <c r="B260" s="1">
        <v>42467</v>
      </c>
      <c r="C260">
        <v>6667</v>
      </c>
      <c r="D260">
        <v>4.6100001335143999</v>
      </c>
      <c r="E260">
        <v>4.6100001335143999</v>
      </c>
      <c r="F260">
        <v>0</v>
      </c>
      <c r="G260">
        <v>2.0199999809265101</v>
      </c>
      <c r="H260">
        <v>5.0000000745058101E-2</v>
      </c>
      <c r="I260">
        <v>2.5499999523162802</v>
      </c>
      <c r="J260">
        <v>0</v>
      </c>
      <c r="K260">
        <v>24</v>
      </c>
      <c r="L260">
        <v>1</v>
      </c>
      <c r="M260">
        <v>208</v>
      </c>
      <c r="N260">
        <v>939</v>
      </c>
      <c r="O260">
        <v>2335</v>
      </c>
      <c r="P260" t="str">
        <f t="shared" si="20"/>
        <v>Valid</v>
      </c>
      <c r="Q260" t="str">
        <f t="shared" si="21"/>
        <v>weekdays</v>
      </c>
      <c r="R260" t="str" cm="1">
        <f t="array" ref="R260">_xlfn.IFS(
N260=MAX(K260,L260,M260,N260),"Sedentary",M260
=MAX(K260,L260,M260,N260),"Lightly Active",
L260=MAX(K260,L260,M260,N260),"Fairly Active",
K260=MAX(K260,L260,M260,N260),"Very Active"
)</f>
        <v>Sedentary</v>
      </c>
      <c r="S260" t="str">
        <f t="shared" si="22"/>
        <v>Sedentary</v>
      </c>
    </row>
    <row r="261" spans="1:19" x14ac:dyDescent="0.3">
      <c r="A261">
        <v>4445114986</v>
      </c>
      <c r="B261" s="1">
        <v>42468</v>
      </c>
      <c r="C261">
        <v>5543</v>
      </c>
      <c r="D261">
        <v>3.7200000286102299</v>
      </c>
      <c r="E261">
        <v>3.7200000286102299</v>
      </c>
      <c r="F261">
        <v>0</v>
      </c>
      <c r="G261">
        <v>0</v>
      </c>
      <c r="H261">
        <v>0</v>
      </c>
      <c r="I261">
        <v>3.7200000286102299</v>
      </c>
      <c r="J261">
        <v>0</v>
      </c>
      <c r="K261">
        <v>0</v>
      </c>
      <c r="L261">
        <v>0</v>
      </c>
      <c r="M261">
        <v>266</v>
      </c>
      <c r="N261">
        <v>941</v>
      </c>
      <c r="O261">
        <v>2303</v>
      </c>
      <c r="P261" t="str">
        <f t="shared" si="20"/>
        <v>Valid</v>
      </c>
      <c r="Q261" t="str">
        <f t="shared" si="21"/>
        <v>weekdays</v>
      </c>
      <c r="R261" t="str" cm="1">
        <f t="array" ref="R261">_xlfn.IFS(
N261=MAX(K261,L261,M261,N261),"Sedentary",M261
=MAX(K261,L261,M261,N261),"Lightly Active",
L261=MAX(K261,L261,M261,N261),"Fairly Active",
K261=MAX(K261,L261,M261,N261),"Very Active"
)</f>
        <v>Sedentary</v>
      </c>
      <c r="S261" t="str">
        <f t="shared" si="22"/>
        <v>Sedentary</v>
      </c>
    </row>
    <row r="262" spans="1:19" x14ac:dyDescent="0.3">
      <c r="A262">
        <v>4445114986</v>
      </c>
      <c r="B262" s="1">
        <v>42469</v>
      </c>
      <c r="C262">
        <v>4195</v>
      </c>
      <c r="D262">
        <v>2.8099999427795401</v>
      </c>
      <c r="E262">
        <v>2.8099999427795401</v>
      </c>
      <c r="F262">
        <v>0</v>
      </c>
      <c r="G262">
        <v>0</v>
      </c>
      <c r="H262">
        <v>0</v>
      </c>
      <c r="I262">
        <v>2.8099999427795401</v>
      </c>
      <c r="J262">
        <v>0</v>
      </c>
      <c r="K262">
        <v>0</v>
      </c>
      <c r="L262">
        <v>0</v>
      </c>
      <c r="M262">
        <v>239</v>
      </c>
      <c r="N262">
        <v>758</v>
      </c>
      <c r="O262">
        <v>2210</v>
      </c>
      <c r="P262" t="str">
        <f t="shared" si="20"/>
        <v>Valid</v>
      </c>
      <c r="Q262" t="str">
        <f t="shared" si="21"/>
        <v>weekends</v>
      </c>
      <c r="R262" t="str" cm="1">
        <f t="array" ref="R262">_xlfn.IFS(
N262=MAX(K262,L262,M262,N262),"Sedentary",M262
=MAX(K262,L262,M262,N262),"Lightly Active",
L262=MAX(K262,L262,M262,N262),"Fairly Active",
K262=MAX(K262,L262,M262,N262),"Very Active"
)</f>
        <v>Sedentary</v>
      </c>
      <c r="S262" t="str">
        <f t="shared" si="22"/>
        <v>Sedentary</v>
      </c>
    </row>
    <row r="263" spans="1:19" x14ac:dyDescent="0.3">
      <c r="A263">
        <v>4445114986</v>
      </c>
      <c r="B263" s="1">
        <v>42470</v>
      </c>
      <c r="C263">
        <v>6625</v>
      </c>
      <c r="D263">
        <v>4.4499998092651403</v>
      </c>
      <c r="E263">
        <v>4.4499998092651403</v>
      </c>
      <c r="F263">
        <v>0</v>
      </c>
      <c r="G263">
        <v>0</v>
      </c>
      <c r="H263">
        <v>0</v>
      </c>
      <c r="I263">
        <v>4.4499998092651403</v>
      </c>
      <c r="J263">
        <v>0</v>
      </c>
      <c r="K263">
        <v>0</v>
      </c>
      <c r="L263">
        <v>0</v>
      </c>
      <c r="M263">
        <v>316</v>
      </c>
      <c r="N263">
        <v>755</v>
      </c>
      <c r="O263">
        <v>2424</v>
      </c>
      <c r="P263" t="str">
        <f t="shared" si="20"/>
        <v>Valid</v>
      </c>
      <c r="Q263" t="str">
        <f t="shared" si="21"/>
        <v>weekends</v>
      </c>
      <c r="R263" t="str" cm="1">
        <f t="array" ref="R263">_xlfn.IFS(
N263=MAX(K263,L263,M263,N263),"Sedentary",M263
=MAX(K263,L263,M263,N263),"Lightly Active",
L263=MAX(K263,L263,M263,N263),"Fairly Active",
K263=MAX(K263,L263,M263,N263),"Very Active"
)</f>
        <v>Sedentary</v>
      </c>
      <c r="S263" t="str">
        <f t="shared" si="22"/>
        <v>Sedentary</v>
      </c>
    </row>
    <row r="264" spans="1:19" x14ac:dyDescent="0.3">
      <c r="A264">
        <v>4445114986</v>
      </c>
      <c r="B264" s="1">
        <v>42471</v>
      </c>
      <c r="C264">
        <v>5986</v>
      </c>
      <c r="D264">
        <v>4.1300001144409197</v>
      </c>
      <c r="E264">
        <v>4.1300001144409197</v>
      </c>
      <c r="F264">
        <v>0</v>
      </c>
      <c r="G264">
        <v>1.95000004768372</v>
      </c>
      <c r="H264">
        <v>0.230000004172325</v>
      </c>
      <c r="I264">
        <v>1.95000004768372</v>
      </c>
      <c r="J264">
        <v>0</v>
      </c>
      <c r="K264">
        <v>23</v>
      </c>
      <c r="L264">
        <v>5</v>
      </c>
      <c r="M264">
        <v>195</v>
      </c>
      <c r="N264">
        <v>789</v>
      </c>
      <c r="O264">
        <v>2297</v>
      </c>
      <c r="P264" t="str">
        <f t="shared" si="20"/>
        <v>Valid</v>
      </c>
      <c r="Q264" t="str">
        <f t="shared" si="21"/>
        <v>weekdays</v>
      </c>
      <c r="R264" t="str" cm="1">
        <f t="array" ref="R264">_xlfn.IFS(
N264=MAX(K264,L264,M264,N264),"Sedentary",M264
=MAX(K264,L264,M264,N264),"Lightly Active",
L264=MAX(K264,L264,M264,N264),"Fairly Active",
K264=MAX(K264,L264,M264,N264),"Very Active"
)</f>
        <v>Sedentary</v>
      </c>
      <c r="S264" t="str">
        <f t="shared" si="22"/>
        <v>Sedentary</v>
      </c>
    </row>
    <row r="265" spans="1:19" x14ac:dyDescent="0.3">
      <c r="A265">
        <v>4445114986</v>
      </c>
      <c r="B265" s="1">
        <v>42472</v>
      </c>
      <c r="C265">
        <v>278</v>
      </c>
      <c r="D265">
        <v>0.18999999761581399</v>
      </c>
      <c r="E265">
        <v>0.18999999761581399</v>
      </c>
      <c r="F265">
        <v>0</v>
      </c>
      <c r="G265">
        <v>0</v>
      </c>
      <c r="H265">
        <v>0</v>
      </c>
      <c r="I265">
        <v>0.18999999761581399</v>
      </c>
      <c r="J265">
        <v>0</v>
      </c>
      <c r="K265">
        <v>0</v>
      </c>
      <c r="L265">
        <v>0</v>
      </c>
      <c r="M265">
        <v>20</v>
      </c>
      <c r="N265">
        <v>253</v>
      </c>
      <c r="O265">
        <v>745</v>
      </c>
      <c r="P265" t="str">
        <f t="shared" si="20"/>
        <v>Valid</v>
      </c>
      <c r="Q265" t="str">
        <f t="shared" si="21"/>
        <v>weekdays</v>
      </c>
      <c r="R265" t="str" cm="1">
        <f t="array" ref="R265">_xlfn.IFS(
N265=MAX(K265,L265,M265,N265),"Sedentary",M265
=MAX(K265,L265,M265,N265),"Lightly Active",
L265=MAX(K265,L265,M265,N265),"Fairly Active",
K265=MAX(K265,L265,M265,N265),"Very Active"
)</f>
        <v>Sedentary</v>
      </c>
      <c r="S265" t="str">
        <f t="shared" si="22"/>
        <v>Sedentary</v>
      </c>
    </row>
    <row r="266" spans="1:19" x14ac:dyDescent="0.3">
      <c r="A266">
        <v>4558609924</v>
      </c>
      <c r="B266" s="1">
        <v>42461</v>
      </c>
      <c r="C266">
        <v>5336</v>
      </c>
      <c r="D266">
        <v>3.5299999713897701</v>
      </c>
      <c r="E266">
        <v>3.5299999713897701</v>
      </c>
      <c r="F266">
        <v>0</v>
      </c>
      <c r="G266">
        <v>0</v>
      </c>
      <c r="H266">
        <v>0</v>
      </c>
      <c r="I266">
        <v>3.5299999713897701</v>
      </c>
      <c r="J266">
        <v>0</v>
      </c>
      <c r="K266">
        <v>0</v>
      </c>
      <c r="L266">
        <v>0</v>
      </c>
      <c r="M266">
        <v>258</v>
      </c>
      <c r="N266">
        <v>1182</v>
      </c>
      <c r="O266">
        <v>1902</v>
      </c>
      <c r="P266" t="str">
        <f t="shared" si="20"/>
        <v>Valid</v>
      </c>
      <c r="Q266" t="str">
        <f t="shared" si="21"/>
        <v>weekdays</v>
      </c>
      <c r="R266" t="str" cm="1">
        <f t="array" ref="R266">_xlfn.IFS(
N266=MAX(K266,L266,M266,N266),"Sedentary",M266
=MAX(K266,L266,M266,N266),"Lightly Active",
L266=MAX(K266,L266,M266,N266),"Fairly Active",
K266=MAX(K266,L266,M266,N266),"Very Active"
)</f>
        <v>Sedentary</v>
      </c>
      <c r="S266" t="str">
        <f t="shared" si="22"/>
        <v>Sedentary</v>
      </c>
    </row>
    <row r="267" spans="1:19" x14ac:dyDescent="0.3">
      <c r="A267">
        <v>4558609924</v>
      </c>
      <c r="B267" s="1">
        <v>42462</v>
      </c>
      <c r="C267">
        <v>3183</v>
      </c>
      <c r="D267">
        <v>2.0999999046325701</v>
      </c>
      <c r="E267">
        <v>2.0999999046325701</v>
      </c>
      <c r="F267">
        <v>0</v>
      </c>
      <c r="G267">
        <v>0</v>
      </c>
      <c r="H267">
        <v>0</v>
      </c>
      <c r="I267">
        <v>2.0999999046325701</v>
      </c>
      <c r="J267">
        <v>0</v>
      </c>
      <c r="K267">
        <v>0</v>
      </c>
      <c r="L267">
        <v>0</v>
      </c>
      <c r="M267">
        <v>173</v>
      </c>
      <c r="N267">
        <v>1180</v>
      </c>
      <c r="O267">
        <v>1680</v>
      </c>
      <c r="P267" t="str">
        <f t="shared" si="20"/>
        <v>Valid</v>
      </c>
      <c r="Q267" t="str">
        <f t="shared" si="21"/>
        <v>weekends</v>
      </c>
      <c r="R267" t="str" cm="1">
        <f t="array" ref="R267">_xlfn.IFS(
N267=MAX(K267,L267,M267,N267),"Sedentary",M267
=MAX(K267,L267,M267,N267),"Lightly Active",
L267=MAX(K267,L267,M267,N267),"Fairly Active",
K267=MAX(K267,L267,M267,N267),"Very Active"
)</f>
        <v>Sedentary</v>
      </c>
      <c r="S267" t="str">
        <f t="shared" si="22"/>
        <v>Sedentary</v>
      </c>
    </row>
    <row r="268" spans="1:19" x14ac:dyDescent="0.3">
      <c r="A268">
        <v>4558609924</v>
      </c>
      <c r="B268" s="1">
        <v>42463</v>
      </c>
      <c r="C268">
        <v>6176</v>
      </c>
      <c r="D268">
        <v>4.0799999237060502</v>
      </c>
      <c r="E268">
        <v>4.0799999237060502</v>
      </c>
      <c r="F268">
        <v>0</v>
      </c>
      <c r="G268">
        <v>7.0000000298023196E-2</v>
      </c>
      <c r="H268">
        <v>0.259999990463257</v>
      </c>
      <c r="I268">
        <v>3.75</v>
      </c>
      <c r="J268">
        <v>0</v>
      </c>
      <c r="K268">
        <v>1</v>
      </c>
      <c r="L268">
        <v>7</v>
      </c>
      <c r="M268">
        <v>269</v>
      </c>
      <c r="N268">
        <v>886</v>
      </c>
      <c r="O268">
        <v>1901</v>
      </c>
      <c r="P268" t="str">
        <f t="shared" si="20"/>
        <v>Valid</v>
      </c>
      <c r="Q268" t="str">
        <f t="shared" si="21"/>
        <v>weekends</v>
      </c>
      <c r="R268" t="str" cm="1">
        <f t="array" ref="R268">_xlfn.IFS(
N268=MAX(K268,L268,M268,N268),"Sedentary",M268
=MAX(K268,L268,M268,N268),"Lightly Active",
L268=MAX(K268,L268,M268,N268),"Fairly Active",
K268=MAX(K268,L268,M268,N268),"Very Active"
)</f>
        <v>Sedentary</v>
      </c>
      <c r="S268" t="str">
        <f t="shared" si="22"/>
        <v>Sedentary</v>
      </c>
    </row>
    <row r="269" spans="1:19" x14ac:dyDescent="0.3">
      <c r="A269">
        <v>4558609924</v>
      </c>
      <c r="B269" s="1">
        <v>42464</v>
      </c>
      <c r="C269">
        <v>8205</v>
      </c>
      <c r="D269">
        <v>5.4200000762939498</v>
      </c>
      <c r="E269">
        <v>5.4200000762939498</v>
      </c>
      <c r="F269">
        <v>0</v>
      </c>
      <c r="G269">
        <v>0</v>
      </c>
      <c r="H269">
        <v>0</v>
      </c>
      <c r="I269">
        <v>5.4200000762939498</v>
      </c>
      <c r="J269">
        <v>0</v>
      </c>
      <c r="K269">
        <v>0</v>
      </c>
      <c r="L269">
        <v>0</v>
      </c>
      <c r="M269">
        <v>367</v>
      </c>
      <c r="N269">
        <v>1073</v>
      </c>
      <c r="O269">
        <v>2078</v>
      </c>
      <c r="P269" t="str">
        <f t="shared" si="20"/>
        <v>Valid</v>
      </c>
      <c r="Q269" t="str">
        <f t="shared" si="21"/>
        <v>weekdays</v>
      </c>
      <c r="R269" t="str" cm="1">
        <f t="array" ref="R269">_xlfn.IFS(
N269=MAX(K269,L269,M269,N269),"Sedentary",M269
=MAX(K269,L269,M269,N269),"Lightly Active",
L269=MAX(K269,L269,M269,N269),"Fairly Active",
K269=MAX(K269,L269,M269,N269),"Very Active"
)</f>
        <v>Sedentary</v>
      </c>
      <c r="S269" t="str">
        <f t="shared" si="22"/>
        <v>Sedentary</v>
      </c>
    </row>
    <row r="270" spans="1:19" x14ac:dyDescent="0.3">
      <c r="A270">
        <v>4558609924</v>
      </c>
      <c r="B270" s="1">
        <v>42465</v>
      </c>
      <c r="C270">
        <v>6799</v>
      </c>
      <c r="D270">
        <v>4.4899997711181596</v>
      </c>
      <c r="E270">
        <v>4.4899997711181596</v>
      </c>
      <c r="F270">
        <v>0</v>
      </c>
      <c r="G270">
        <v>1.5900000333786</v>
      </c>
      <c r="H270">
        <v>0.86000001430511497</v>
      </c>
      <c r="I270">
        <v>2.03999996185303</v>
      </c>
      <c r="J270">
        <v>0</v>
      </c>
      <c r="K270">
        <v>24</v>
      </c>
      <c r="L270">
        <v>14</v>
      </c>
      <c r="M270">
        <v>185</v>
      </c>
      <c r="N270">
        <v>1217</v>
      </c>
      <c r="O270">
        <v>1876</v>
      </c>
      <c r="P270" t="str">
        <f t="shared" si="20"/>
        <v>Valid</v>
      </c>
      <c r="Q270" t="str">
        <f t="shared" si="21"/>
        <v>weekdays</v>
      </c>
      <c r="R270" t="str" cm="1">
        <f t="array" ref="R270">_xlfn.IFS(
N270=MAX(K270,L270,M270,N270),"Sedentary",M270
=MAX(K270,L270,M270,N270),"Lightly Active",
L270=MAX(K270,L270,M270,N270),"Fairly Active",
K270=MAX(K270,L270,M270,N270),"Very Active"
)</f>
        <v>Sedentary</v>
      </c>
      <c r="S270" t="str">
        <f t="shared" si="22"/>
        <v>Sedentary</v>
      </c>
    </row>
    <row r="271" spans="1:19" x14ac:dyDescent="0.3">
      <c r="A271">
        <v>4558609924</v>
      </c>
      <c r="B271" s="1">
        <v>42466</v>
      </c>
      <c r="C271">
        <v>5668</v>
      </c>
      <c r="D271">
        <v>3.75</v>
      </c>
      <c r="E271">
        <v>3.75</v>
      </c>
      <c r="F271">
        <v>0</v>
      </c>
      <c r="G271">
        <v>0</v>
      </c>
      <c r="H271">
        <v>0</v>
      </c>
      <c r="I271">
        <v>3.75</v>
      </c>
      <c r="J271">
        <v>0</v>
      </c>
      <c r="K271">
        <v>0</v>
      </c>
      <c r="L271">
        <v>0</v>
      </c>
      <c r="M271">
        <v>259</v>
      </c>
      <c r="N271">
        <v>1181</v>
      </c>
      <c r="O271">
        <v>1853</v>
      </c>
      <c r="P271" t="str">
        <f t="shared" si="20"/>
        <v>Valid</v>
      </c>
      <c r="Q271" t="str">
        <f t="shared" si="21"/>
        <v>weekdays</v>
      </c>
      <c r="R271" t="str" cm="1">
        <f t="array" ref="R271">_xlfn.IFS(
N271=MAX(K271,L271,M271,N271),"Sedentary",M271
=MAX(K271,L271,M271,N271),"Lightly Active",
L271=MAX(K271,L271,M271,N271),"Fairly Active",
K271=MAX(K271,L271,M271,N271),"Very Active"
)</f>
        <v>Sedentary</v>
      </c>
      <c r="S271" t="str">
        <f t="shared" si="22"/>
        <v>Sedentary</v>
      </c>
    </row>
    <row r="272" spans="1:19" x14ac:dyDescent="0.3">
      <c r="A272">
        <v>4558609924</v>
      </c>
      <c r="B272" s="1">
        <v>42467</v>
      </c>
      <c r="C272">
        <v>7998</v>
      </c>
      <c r="D272">
        <v>5.28999996185303</v>
      </c>
      <c r="E272">
        <v>5.28999996185303</v>
      </c>
      <c r="F272">
        <v>0</v>
      </c>
      <c r="G272">
        <v>0.50999999046325695</v>
      </c>
      <c r="H272">
        <v>0.25</v>
      </c>
      <c r="I272">
        <v>4.5300002098083496</v>
      </c>
      <c r="J272">
        <v>0</v>
      </c>
      <c r="K272">
        <v>27</v>
      </c>
      <c r="L272">
        <v>12</v>
      </c>
      <c r="M272">
        <v>296</v>
      </c>
      <c r="N272">
        <v>1105</v>
      </c>
      <c r="O272">
        <v>2235</v>
      </c>
      <c r="P272" t="str">
        <f t="shared" si="20"/>
        <v>Valid</v>
      </c>
      <c r="Q272" t="str">
        <f t="shared" si="21"/>
        <v>weekdays</v>
      </c>
      <c r="R272" t="str" cm="1">
        <f t="array" ref="R272">_xlfn.IFS(
N272=MAX(K272,L272,M272,N272),"Sedentary",M272
=MAX(K272,L272,M272,N272),"Lightly Active",
L272=MAX(K272,L272,M272,N272),"Fairly Active",
K272=MAX(K272,L272,M272,N272),"Very Active"
)</f>
        <v>Sedentary</v>
      </c>
      <c r="S272" t="str">
        <f t="shared" si="22"/>
        <v>Sedentary</v>
      </c>
    </row>
    <row r="273" spans="1:19" x14ac:dyDescent="0.3">
      <c r="A273">
        <v>4558609924</v>
      </c>
      <c r="B273" s="1">
        <v>42468</v>
      </c>
      <c r="C273">
        <v>4195</v>
      </c>
      <c r="D273">
        <v>2.7699999809265101</v>
      </c>
      <c r="E273">
        <v>2.7699999809265101</v>
      </c>
      <c r="F273">
        <v>0</v>
      </c>
      <c r="G273">
        <v>0</v>
      </c>
      <c r="H273">
        <v>0</v>
      </c>
      <c r="I273">
        <v>2.7699999809265101</v>
      </c>
      <c r="J273">
        <v>0</v>
      </c>
      <c r="K273">
        <v>0</v>
      </c>
      <c r="L273">
        <v>0</v>
      </c>
      <c r="M273">
        <v>241</v>
      </c>
      <c r="N273">
        <v>1199</v>
      </c>
      <c r="O273">
        <v>1778</v>
      </c>
      <c r="P273" t="str">
        <f t="shared" si="20"/>
        <v>Valid</v>
      </c>
      <c r="Q273" t="str">
        <f t="shared" si="21"/>
        <v>weekdays</v>
      </c>
      <c r="R273" t="str" cm="1">
        <f t="array" ref="R273">_xlfn.IFS(
N273=MAX(K273,L273,M273,N273),"Sedentary",M273
=MAX(K273,L273,M273,N273),"Lightly Active",
L273=MAX(K273,L273,M273,N273),"Fairly Active",
K273=MAX(K273,L273,M273,N273),"Very Active"
)</f>
        <v>Sedentary</v>
      </c>
      <c r="S273" t="str">
        <f t="shared" si="22"/>
        <v>Sedentary</v>
      </c>
    </row>
    <row r="274" spans="1:19" x14ac:dyDescent="0.3">
      <c r="A274">
        <v>4558609924</v>
      </c>
      <c r="B274" s="1">
        <v>42469</v>
      </c>
      <c r="C274">
        <v>5512</v>
      </c>
      <c r="D274">
        <v>3.6400001049041699</v>
      </c>
      <c r="E274">
        <v>3.6400001049041699</v>
      </c>
      <c r="F274">
        <v>0</v>
      </c>
      <c r="G274">
        <v>0</v>
      </c>
      <c r="H274">
        <v>0</v>
      </c>
      <c r="I274">
        <v>3.6400001049041699</v>
      </c>
      <c r="J274">
        <v>0</v>
      </c>
      <c r="K274">
        <v>0</v>
      </c>
      <c r="L274">
        <v>0</v>
      </c>
      <c r="M274">
        <v>276</v>
      </c>
      <c r="N274">
        <v>1164</v>
      </c>
      <c r="O274">
        <v>1882</v>
      </c>
      <c r="P274" t="str">
        <f t="shared" si="20"/>
        <v>Valid</v>
      </c>
      <c r="Q274" t="str">
        <f t="shared" si="21"/>
        <v>weekends</v>
      </c>
      <c r="R274" t="str" cm="1">
        <f t="array" ref="R274">_xlfn.IFS(
N274=MAX(K274,L274,M274,N274),"Sedentary",M274
=MAX(K274,L274,M274,N274),"Lightly Active",
L274=MAX(K274,L274,M274,N274),"Fairly Active",
K274=MAX(K274,L274,M274,N274),"Very Active"
)</f>
        <v>Sedentary</v>
      </c>
      <c r="S274" t="str">
        <f t="shared" si="22"/>
        <v>Sedentary</v>
      </c>
    </row>
    <row r="275" spans="1:19" x14ac:dyDescent="0.3">
      <c r="A275">
        <v>4558609924</v>
      </c>
      <c r="B275" s="1">
        <v>42470</v>
      </c>
      <c r="C275">
        <v>6263</v>
      </c>
      <c r="D275">
        <v>4.1399998664856001</v>
      </c>
      <c r="E275">
        <v>4.1399998664856001</v>
      </c>
      <c r="F275">
        <v>0</v>
      </c>
      <c r="G275">
        <v>0</v>
      </c>
      <c r="H275">
        <v>0</v>
      </c>
      <c r="I275">
        <v>4.1300001144409197</v>
      </c>
      <c r="J275">
        <v>0</v>
      </c>
      <c r="K275">
        <v>0</v>
      </c>
      <c r="L275">
        <v>0</v>
      </c>
      <c r="M275">
        <v>290</v>
      </c>
      <c r="N275">
        <v>1150</v>
      </c>
      <c r="O275">
        <v>1906</v>
      </c>
      <c r="P275" t="str">
        <f t="shared" si="20"/>
        <v>Valid</v>
      </c>
      <c r="Q275" t="str">
        <f t="shared" si="21"/>
        <v>weekends</v>
      </c>
      <c r="R275" t="str" cm="1">
        <f t="array" ref="R275">_xlfn.IFS(
N275=MAX(K275,L275,M275,N275),"Sedentary",M275
=MAX(K275,L275,M275,N275),"Lightly Active",
L275=MAX(K275,L275,M275,N275),"Fairly Active",
K275=MAX(K275,L275,M275,N275),"Very Active"
)</f>
        <v>Sedentary</v>
      </c>
      <c r="S275" t="str">
        <f t="shared" si="22"/>
        <v>Sedentary</v>
      </c>
    </row>
    <row r="276" spans="1:19" x14ac:dyDescent="0.3">
      <c r="A276">
        <v>4558609924</v>
      </c>
      <c r="B276" s="1">
        <v>42471</v>
      </c>
      <c r="C276">
        <v>8828</v>
      </c>
      <c r="D276">
        <v>5.8400001525878897</v>
      </c>
      <c r="E276">
        <v>5.8400001525878897</v>
      </c>
      <c r="F276">
        <v>0</v>
      </c>
      <c r="G276">
        <v>0</v>
      </c>
      <c r="H276">
        <v>0</v>
      </c>
      <c r="I276">
        <v>5.8400001525878897</v>
      </c>
      <c r="J276">
        <v>0</v>
      </c>
      <c r="K276">
        <v>0</v>
      </c>
      <c r="L276">
        <v>0</v>
      </c>
      <c r="M276">
        <v>308</v>
      </c>
      <c r="N276">
        <v>1132</v>
      </c>
      <c r="O276">
        <v>2149</v>
      </c>
      <c r="P276" t="str">
        <f t="shared" si="20"/>
        <v>Valid</v>
      </c>
      <c r="Q276" t="str">
        <f t="shared" si="21"/>
        <v>weekdays</v>
      </c>
      <c r="R276" t="str" cm="1">
        <f t="array" ref="R276">_xlfn.IFS(
N276=MAX(K276,L276,M276,N276),"Sedentary",M276
=MAX(K276,L276,M276,N276),"Lightly Active",
L276=MAX(K276,L276,M276,N276),"Fairly Active",
K276=MAX(K276,L276,M276,N276),"Very Active"
)</f>
        <v>Sedentary</v>
      </c>
      <c r="S276" t="str">
        <f t="shared" si="22"/>
        <v>Sedentary</v>
      </c>
    </row>
    <row r="277" spans="1:19" x14ac:dyDescent="0.3">
      <c r="A277">
        <v>4558609924</v>
      </c>
      <c r="B277" s="1">
        <v>42472</v>
      </c>
      <c r="C277">
        <v>1260</v>
      </c>
      <c r="D277">
        <v>0.82999998331069902</v>
      </c>
      <c r="E277">
        <v>0.82999998331069902</v>
      </c>
      <c r="F277">
        <v>0</v>
      </c>
      <c r="G277">
        <v>0</v>
      </c>
      <c r="H277">
        <v>0</v>
      </c>
      <c r="I277">
        <v>0.81999999284744296</v>
      </c>
      <c r="J277">
        <v>0</v>
      </c>
      <c r="K277">
        <v>0</v>
      </c>
      <c r="L277">
        <v>0</v>
      </c>
      <c r="M277">
        <v>76</v>
      </c>
      <c r="N277">
        <v>555</v>
      </c>
      <c r="O277">
        <v>722</v>
      </c>
      <c r="P277" t="str">
        <f t="shared" si="20"/>
        <v>Valid</v>
      </c>
      <c r="Q277" t="str">
        <f t="shared" si="21"/>
        <v>weekdays</v>
      </c>
      <c r="R277" t="str" cm="1">
        <f t="array" ref="R277">_xlfn.IFS(
N277=MAX(K277,L277,M277,N277),"Sedentary",M277
=MAX(K277,L277,M277,N277),"Lightly Active",
L277=MAX(K277,L277,M277,N277),"Fairly Active",
K277=MAX(K277,L277,M277,N277),"Very Active"
)</f>
        <v>Sedentary</v>
      </c>
      <c r="S277" t="str">
        <f t="shared" si="22"/>
        <v>Sedentary</v>
      </c>
    </row>
    <row r="278" spans="1:19" x14ac:dyDescent="0.3">
      <c r="A278">
        <v>4702921684</v>
      </c>
      <c r="B278" s="1">
        <v>42458</v>
      </c>
      <c r="C278">
        <v>6506</v>
      </c>
      <c r="D278">
        <v>5.2800002098083496</v>
      </c>
      <c r="E278">
        <v>5.2800002098083496</v>
      </c>
      <c r="F278">
        <v>0</v>
      </c>
      <c r="G278">
        <v>0.33000001311302202</v>
      </c>
      <c r="H278">
        <v>0.270000010728836</v>
      </c>
      <c r="I278">
        <v>4.6700000762939498</v>
      </c>
      <c r="J278">
        <v>0</v>
      </c>
      <c r="K278">
        <v>4</v>
      </c>
      <c r="L278">
        <v>5</v>
      </c>
      <c r="M278">
        <v>241</v>
      </c>
      <c r="N278">
        <v>760</v>
      </c>
      <c r="O278">
        <v>2886</v>
      </c>
      <c r="P278" t="str">
        <f t="shared" si="20"/>
        <v>Valid</v>
      </c>
      <c r="Q278" t="str">
        <f t="shared" si="21"/>
        <v>weekdays</v>
      </c>
      <c r="R278" t="str" cm="1">
        <f t="array" ref="R278">_xlfn.IFS(
N278=MAX(K278,L278,M278,N278),"Sedentary",M278
=MAX(K278,L278,M278,N278),"Lightly Active",
L278=MAX(K278,L278,M278,N278),"Fairly Active",
K278=MAX(K278,L278,M278,N278),"Very Active"
)</f>
        <v>Sedentary</v>
      </c>
      <c r="S278" t="str">
        <f t="shared" si="22"/>
        <v>Sedentary</v>
      </c>
    </row>
    <row r="279" spans="1:19" x14ac:dyDescent="0.3">
      <c r="A279">
        <v>4702921684</v>
      </c>
      <c r="B279" s="1">
        <v>42459</v>
      </c>
      <c r="C279">
        <v>7583</v>
      </c>
      <c r="D279">
        <v>6.1500000953674299</v>
      </c>
      <c r="E279">
        <v>6.1500000953674299</v>
      </c>
      <c r="F279">
        <v>0</v>
      </c>
      <c r="G279">
        <v>0.25</v>
      </c>
      <c r="H279">
        <v>0.55000001192092896</v>
      </c>
      <c r="I279">
        <v>5.3499999046325701</v>
      </c>
      <c r="J279">
        <v>0</v>
      </c>
      <c r="K279">
        <v>3</v>
      </c>
      <c r="L279">
        <v>13</v>
      </c>
      <c r="M279">
        <v>227</v>
      </c>
      <c r="N279">
        <v>742</v>
      </c>
      <c r="O279">
        <v>2915</v>
      </c>
      <c r="P279" t="str">
        <f t="shared" si="20"/>
        <v>Valid</v>
      </c>
      <c r="Q279" t="str">
        <f t="shared" si="21"/>
        <v>weekdays</v>
      </c>
      <c r="R279" t="str" cm="1">
        <f t="array" ref="R279">_xlfn.IFS(
N279=MAX(K279,L279,M279,N279),"Sedentary",M279
=MAX(K279,L279,M279,N279),"Lightly Active",
L279=MAX(K279,L279,M279,N279),"Fairly Active",
K279=MAX(K279,L279,M279,N279),"Very Active"
)</f>
        <v>Sedentary</v>
      </c>
      <c r="S279" t="str">
        <f t="shared" si="22"/>
        <v>Sedentary</v>
      </c>
    </row>
    <row r="280" spans="1:19" x14ac:dyDescent="0.3">
      <c r="A280">
        <v>4702921684</v>
      </c>
      <c r="B280" s="1">
        <v>42460</v>
      </c>
      <c r="C280">
        <v>6963</v>
      </c>
      <c r="D280">
        <v>5.6500000953674299</v>
      </c>
      <c r="E280">
        <v>5.6500000953674299</v>
      </c>
      <c r="F280">
        <v>0</v>
      </c>
      <c r="G280">
        <v>0</v>
      </c>
      <c r="H280">
        <v>0</v>
      </c>
      <c r="I280">
        <v>5.6500000953674299</v>
      </c>
      <c r="J280">
        <v>0</v>
      </c>
      <c r="K280">
        <v>0</v>
      </c>
      <c r="L280">
        <v>0</v>
      </c>
      <c r="M280">
        <v>256</v>
      </c>
      <c r="N280">
        <v>759</v>
      </c>
      <c r="O280">
        <v>2895</v>
      </c>
      <c r="P280" t="str">
        <f t="shared" si="20"/>
        <v>Valid</v>
      </c>
      <c r="Q280" t="str">
        <f t="shared" si="21"/>
        <v>weekdays</v>
      </c>
      <c r="R280" t="str" cm="1">
        <f t="array" ref="R280">_xlfn.IFS(
N280=MAX(K280,L280,M280,N280),"Sedentary",M280
=MAX(K280,L280,M280,N280),"Lightly Active",
L280=MAX(K280,L280,M280,N280),"Fairly Active",
K280=MAX(K280,L280,M280,N280),"Very Active"
)</f>
        <v>Sedentary</v>
      </c>
      <c r="S280" t="str">
        <f t="shared" si="22"/>
        <v>Sedentary</v>
      </c>
    </row>
    <row r="281" spans="1:19" x14ac:dyDescent="0.3">
      <c r="A281">
        <v>4702921684</v>
      </c>
      <c r="B281" s="1">
        <v>42461</v>
      </c>
      <c r="C281">
        <v>7165</v>
      </c>
      <c r="D281">
        <v>5.8099999427795401</v>
      </c>
      <c r="E281">
        <v>5.8099999427795401</v>
      </c>
      <c r="F281">
        <v>0</v>
      </c>
      <c r="G281">
        <v>0</v>
      </c>
      <c r="H281">
        <v>0.37000000476837203</v>
      </c>
      <c r="I281">
        <v>5.4400000572204599</v>
      </c>
      <c r="J281">
        <v>0</v>
      </c>
      <c r="K281">
        <v>0</v>
      </c>
      <c r="L281">
        <v>9</v>
      </c>
      <c r="M281">
        <v>248</v>
      </c>
      <c r="N281">
        <v>708</v>
      </c>
      <c r="O281">
        <v>2923</v>
      </c>
      <c r="P281" t="str">
        <f t="shared" si="20"/>
        <v>Valid</v>
      </c>
      <c r="Q281" t="str">
        <f t="shared" si="21"/>
        <v>weekdays</v>
      </c>
      <c r="R281" t="str" cm="1">
        <f t="array" ref="R281">_xlfn.IFS(
N281=MAX(K281,L281,M281,N281),"Sedentary",M281
=MAX(K281,L281,M281,N281),"Lightly Active",
L281=MAX(K281,L281,M281,N281),"Fairly Active",
K281=MAX(K281,L281,M281,N281),"Very Active"
)</f>
        <v>Sedentary</v>
      </c>
      <c r="S281" t="str">
        <f t="shared" si="22"/>
        <v>Sedentary</v>
      </c>
    </row>
    <row r="282" spans="1:19" x14ac:dyDescent="0.3">
      <c r="A282">
        <v>4702921684</v>
      </c>
      <c r="B282" s="1">
        <v>42462</v>
      </c>
      <c r="C282">
        <v>10328</v>
      </c>
      <c r="D282">
        <v>8.3800001144409197</v>
      </c>
      <c r="E282">
        <v>8.3800001144409197</v>
      </c>
      <c r="F282">
        <v>0</v>
      </c>
      <c r="G282">
        <v>0</v>
      </c>
      <c r="H282">
        <v>1.46000003814697</v>
      </c>
      <c r="I282">
        <v>6.9200000762939498</v>
      </c>
      <c r="J282">
        <v>0</v>
      </c>
      <c r="K282">
        <v>0</v>
      </c>
      <c r="L282">
        <v>32</v>
      </c>
      <c r="M282">
        <v>367</v>
      </c>
      <c r="N282">
        <v>475</v>
      </c>
      <c r="O282">
        <v>3323</v>
      </c>
      <c r="P282" t="str">
        <f t="shared" si="20"/>
        <v>Valid</v>
      </c>
      <c r="Q282" t="str">
        <f t="shared" si="21"/>
        <v>weekends</v>
      </c>
      <c r="R282" t="str" cm="1">
        <f t="array" ref="R282">_xlfn.IFS(
N282=MAX(K282,L282,M282,N282),"Sedentary",M282
=MAX(K282,L282,M282,N282),"Lightly Active",
L282=MAX(K282,L282,M282,N282),"Fairly Active",
K282=MAX(K282,L282,M282,N282),"Very Active"
)</f>
        <v>Sedentary</v>
      </c>
      <c r="S282" t="str">
        <f t="shared" si="22"/>
        <v>Sedentary</v>
      </c>
    </row>
    <row r="283" spans="1:19" x14ac:dyDescent="0.3">
      <c r="A283">
        <v>4702921684</v>
      </c>
      <c r="B283" s="1">
        <v>42463</v>
      </c>
      <c r="C283">
        <v>12116</v>
      </c>
      <c r="D283">
        <v>9.8299999237060494</v>
      </c>
      <c r="E283">
        <v>9.8299999237060494</v>
      </c>
      <c r="F283">
        <v>0</v>
      </c>
      <c r="G283">
        <v>0.25</v>
      </c>
      <c r="H283">
        <v>2.8499999046325701</v>
      </c>
      <c r="I283">
        <v>6.7199997901916504</v>
      </c>
      <c r="J283">
        <v>0</v>
      </c>
      <c r="K283">
        <v>3</v>
      </c>
      <c r="L283">
        <v>57</v>
      </c>
      <c r="M283">
        <v>323</v>
      </c>
      <c r="N283">
        <v>471</v>
      </c>
      <c r="O283">
        <v>3357</v>
      </c>
      <c r="P283" t="str">
        <f t="shared" si="20"/>
        <v>Valid</v>
      </c>
      <c r="Q283" t="str">
        <f t="shared" si="21"/>
        <v>weekends</v>
      </c>
      <c r="R283" t="str" cm="1">
        <f t="array" ref="R283">_xlfn.IFS(
N283=MAX(K283,L283,M283,N283),"Sedentary",M283
=MAX(K283,L283,M283,N283),"Lightly Active",
L283=MAX(K283,L283,M283,N283),"Fairly Active",
K283=MAX(K283,L283,M283,N283),"Very Active"
)</f>
        <v>Sedentary</v>
      </c>
      <c r="S283" t="str">
        <f t="shared" si="22"/>
        <v>Sedentary</v>
      </c>
    </row>
    <row r="284" spans="1:19" x14ac:dyDescent="0.3">
      <c r="A284">
        <v>4702921684</v>
      </c>
      <c r="B284" s="1">
        <v>42464</v>
      </c>
      <c r="C284">
        <v>7810</v>
      </c>
      <c r="D284">
        <v>6.3600001335143999</v>
      </c>
      <c r="E284">
        <v>6.3600001335143999</v>
      </c>
      <c r="F284">
        <v>0</v>
      </c>
      <c r="G284">
        <v>0.479999989271164</v>
      </c>
      <c r="H284">
        <v>1.20000004768372</v>
      </c>
      <c r="I284">
        <v>4.6799998283386204</v>
      </c>
      <c r="J284">
        <v>0</v>
      </c>
      <c r="K284">
        <v>6</v>
      </c>
      <c r="L284">
        <v>27</v>
      </c>
      <c r="M284">
        <v>216</v>
      </c>
      <c r="N284">
        <v>746</v>
      </c>
      <c r="O284">
        <v>2931</v>
      </c>
      <c r="P284" t="str">
        <f t="shared" si="20"/>
        <v>Valid</v>
      </c>
      <c r="Q284" t="str">
        <f t="shared" si="21"/>
        <v>weekdays</v>
      </c>
      <c r="R284" t="str" cm="1">
        <f t="array" ref="R284">_xlfn.IFS(
N284=MAX(K284,L284,M284,N284),"Sedentary",M284
=MAX(K284,L284,M284,N284),"Lightly Active",
L284=MAX(K284,L284,M284,N284),"Fairly Active",
K284=MAX(K284,L284,M284,N284),"Very Active"
)</f>
        <v>Sedentary</v>
      </c>
      <c r="S284" t="str">
        <f t="shared" si="22"/>
        <v>Sedentary</v>
      </c>
    </row>
    <row r="285" spans="1:19" x14ac:dyDescent="0.3">
      <c r="A285">
        <v>4702921684</v>
      </c>
      <c r="B285" s="1">
        <v>42465</v>
      </c>
      <c r="C285">
        <v>6670</v>
      </c>
      <c r="D285">
        <v>5.4099998474121103</v>
      </c>
      <c r="E285">
        <v>5.4099998474121103</v>
      </c>
      <c r="F285">
        <v>0</v>
      </c>
      <c r="G285">
        <v>1.2400000095367401</v>
      </c>
      <c r="H285">
        <v>0.80000001192092896</v>
      </c>
      <c r="I285">
        <v>3.3699998855590798</v>
      </c>
      <c r="J285">
        <v>0</v>
      </c>
      <c r="K285">
        <v>15</v>
      </c>
      <c r="L285">
        <v>16</v>
      </c>
      <c r="M285">
        <v>199</v>
      </c>
      <c r="N285">
        <v>770</v>
      </c>
      <c r="O285">
        <v>2848</v>
      </c>
      <c r="P285" t="str">
        <f t="shared" si="20"/>
        <v>Valid</v>
      </c>
      <c r="Q285" t="str">
        <f t="shared" si="21"/>
        <v>weekdays</v>
      </c>
      <c r="R285" t="str" cm="1">
        <f t="array" ref="R285">_xlfn.IFS(
N285=MAX(K285,L285,M285,N285),"Sedentary",M285
=MAX(K285,L285,M285,N285),"Lightly Active",
L285=MAX(K285,L285,M285,N285),"Fairly Active",
K285=MAX(K285,L285,M285,N285),"Very Active"
)</f>
        <v>Sedentary</v>
      </c>
      <c r="S285" t="str">
        <f t="shared" si="22"/>
        <v>Sedentary</v>
      </c>
    </row>
    <row r="286" spans="1:19" x14ac:dyDescent="0.3">
      <c r="A286">
        <v>4702921684</v>
      </c>
      <c r="B286" s="1">
        <v>42466</v>
      </c>
      <c r="C286">
        <v>7605</v>
      </c>
      <c r="D286">
        <v>6.1799998283386204</v>
      </c>
      <c r="E286">
        <v>6.1799998283386204</v>
      </c>
      <c r="F286">
        <v>0</v>
      </c>
      <c r="G286">
        <v>0.33000001311302202</v>
      </c>
      <c r="H286">
        <v>0.20999999344348899</v>
      </c>
      <c r="I286">
        <v>5.6300001144409197</v>
      </c>
      <c r="J286">
        <v>0</v>
      </c>
      <c r="K286">
        <v>4</v>
      </c>
      <c r="L286">
        <v>4</v>
      </c>
      <c r="M286">
        <v>248</v>
      </c>
      <c r="N286">
        <v>708</v>
      </c>
      <c r="O286">
        <v>2943</v>
      </c>
      <c r="P286" t="str">
        <f t="shared" si="20"/>
        <v>Valid</v>
      </c>
      <c r="Q286" t="str">
        <f t="shared" si="21"/>
        <v>weekdays</v>
      </c>
      <c r="R286" t="str" cm="1">
        <f t="array" ref="R286">_xlfn.IFS(
N286=MAX(K286,L286,M286,N286),"Sedentary",M286
=MAX(K286,L286,M286,N286),"Lightly Active",
L286=MAX(K286,L286,M286,N286),"Fairly Active",
K286=MAX(K286,L286,M286,N286),"Very Active"
)</f>
        <v>Sedentary</v>
      </c>
      <c r="S286" t="str">
        <f t="shared" si="22"/>
        <v>Sedentary</v>
      </c>
    </row>
    <row r="287" spans="1:19" x14ac:dyDescent="0.3">
      <c r="A287">
        <v>4702921684</v>
      </c>
      <c r="B287" s="1">
        <v>42467</v>
      </c>
      <c r="C287">
        <v>6585</v>
      </c>
      <c r="D287">
        <v>5.3400001525878897</v>
      </c>
      <c r="E287">
        <v>5.3400001525878897</v>
      </c>
      <c r="F287">
        <v>0</v>
      </c>
      <c r="G287">
        <v>0</v>
      </c>
      <c r="H287">
        <v>0</v>
      </c>
      <c r="I287">
        <v>5.3400001525878897</v>
      </c>
      <c r="J287">
        <v>0</v>
      </c>
      <c r="K287">
        <v>0</v>
      </c>
      <c r="L287">
        <v>0</v>
      </c>
      <c r="M287">
        <v>210</v>
      </c>
      <c r="N287">
        <v>770</v>
      </c>
      <c r="O287">
        <v>2822</v>
      </c>
      <c r="P287" t="str">
        <f t="shared" si="20"/>
        <v>Valid</v>
      </c>
      <c r="Q287" t="str">
        <f t="shared" si="21"/>
        <v>weekdays</v>
      </c>
      <c r="R287" t="str" cm="1">
        <f t="array" ref="R287">_xlfn.IFS(
N287=MAX(K287,L287,M287,N287),"Sedentary",M287
=MAX(K287,L287,M287,N287),"Lightly Active",
L287=MAX(K287,L287,M287,N287),"Fairly Active",
K287=MAX(K287,L287,M287,N287),"Very Active"
)</f>
        <v>Sedentary</v>
      </c>
      <c r="S287" t="str">
        <f t="shared" si="22"/>
        <v>Sedentary</v>
      </c>
    </row>
    <row r="288" spans="1:19" x14ac:dyDescent="0.3">
      <c r="A288">
        <v>4702921684</v>
      </c>
      <c r="B288" s="1">
        <v>42468</v>
      </c>
      <c r="C288">
        <v>8184</v>
      </c>
      <c r="D288">
        <v>6.6399998664856001</v>
      </c>
      <c r="E288">
        <v>6.6399998664856001</v>
      </c>
      <c r="F288">
        <v>0</v>
      </c>
      <c r="G288">
        <v>0</v>
      </c>
      <c r="H288">
        <v>0.62000000476837203</v>
      </c>
      <c r="I288">
        <v>5.9499998092651403</v>
      </c>
      <c r="J288">
        <v>0</v>
      </c>
      <c r="K288">
        <v>0</v>
      </c>
      <c r="L288">
        <v>15</v>
      </c>
      <c r="M288">
        <v>247</v>
      </c>
      <c r="N288">
        <v>808</v>
      </c>
      <c r="O288">
        <v>2981</v>
      </c>
      <c r="P288" t="str">
        <f t="shared" si="20"/>
        <v>Valid</v>
      </c>
      <c r="Q288" t="str">
        <f t="shared" si="21"/>
        <v>weekdays</v>
      </c>
      <c r="R288" t="str" cm="1">
        <f t="array" ref="R288">_xlfn.IFS(
N288=MAX(K288,L288,M288,N288),"Sedentary",M288
=MAX(K288,L288,M288,N288),"Lightly Active",
L288=MAX(K288,L288,M288,N288),"Fairly Active",
K288=MAX(K288,L288,M288,N288),"Very Active"
)</f>
        <v>Sedentary</v>
      </c>
      <c r="S288" t="str">
        <f t="shared" si="22"/>
        <v>Active</v>
      </c>
    </row>
    <row r="289" spans="1:19" x14ac:dyDescent="0.3">
      <c r="A289">
        <v>4702921684</v>
      </c>
      <c r="B289" s="1">
        <v>42469</v>
      </c>
      <c r="C289">
        <v>14002</v>
      </c>
      <c r="D289">
        <v>11.3599996566772</v>
      </c>
      <c r="E289">
        <v>11.3599996566772</v>
      </c>
      <c r="F289">
        <v>0</v>
      </c>
      <c r="G289">
        <v>0.61000001430511497</v>
      </c>
      <c r="H289">
        <v>2.6800000667571999</v>
      </c>
      <c r="I289">
        <v>8.0600004196166992</v>
      </c>
      <c r="J289">
        <v>0</v>
      </c>
      <c r="K289">
        <v>8</v>
      </c>
      <c r="L289">
        <v>56</v>
      </c>
      <c r="M289">
        <v>381</v>
      </c>
      <c r="N289">
        <v>407</v>
      </c>
      <c r="O289">
        <v>3597</v>
      </c>
      <c r="P289" t="str">
        <f t="shared" si="20"/>
        <v>Valid</v>
      </c>
      <c r="Q289" t="str">
        <f t="shared" si="21"/>
        <v>weekends</v>
      </c>
      <c r="R289" t="str" cm="1">
        <f t="array" ref="R289">_xlfn.IFS(
N289=MAX(K289,L289,M289,N289),"Sedentary",M289
=MAX(K289,L289,M289,N289),"Lightly Active",
L289=MAX(K289,L289,M289,N289),"Fairly Active",
K289=MAX(K289,L289,M289,N289),"Very Active"
)</f>
        <v>Sedentary</v>
      </c>
      <c r="S289" t="str">
        <f t="shared" si="22"/>
        <v>Sedentary</v>
      </c>
    </row>
    <row r="290" spans="1:19" x14ac:dyDescent="0.3">
      <c r="A290">
        <v>4702921684</v>
      </c>
      <c r="B290" s="1">
        <v>42470</v>
      </c>
      <c r="C290">
        <v>11135</v>
      </c>
      <c r="D290">
        <v>9.0299997329711896</v>
      </c>
      <c r="E290">
        <v>9.0299997329711896</v>
      </c>
      <c r="F290">
        <v>0</v>
      </c>
      <c r="G290">
        <v>7.9999998211860698E-2</v>
      </c>
      <c r="H290">
        <v>1.1599999666214</v>
      </c>
      <c r="I290">
        <v>7.78999996185303</v>
      </c>
      <c r="J290">
        <v>0</v>
      </c>
      <c r="K290">
        <v>1</v>
      </c>
      <c r="L290">
        <v>25</v>
      </c>
      <c r="M290">
        <v>331</v>
      </c>
      <c r="N290">
        <v>528</v>
      </c>
      <c r="O290">
        <v>3224</v>
      </c>
      <c r="P290" t="str">
        <f t="shared" si="20"/>
        <v>Valid</v>
      </c>
      <c r="Q290" t="str">
        <f t="shared" si="21"/>
        <v>weekends</v>
      </c>
      <c r="R290" t="str" cm="1">
        <f t="array" ref="R290">_xlfn.IFS(
N290=MAX(K290,L290,M290,N290),"Sedentary",M290
=MAX(K290,L290,M290,N290),"Lightly Active",
L290=MAX(K290,L290,M290,N290),"Fairly Active",
K290=MAX(K290,L290,M290,N290),"Very Active"
)</f>
        <v>Sedentary</v>
      </c>
      <c r="S290" t="str">
        <f t="shared" si="22"/>
        <v>Sedentary</v>
      </c>
    </row>
    <row r="291" spans="1:19" x14ac:dyDescent="0.3">
      <c r="A291">
        <v>4702921684</v>
      </c>
      <c r="B291" s="1">
        <v>42471</v>
      </c>
      <c r="C291">
        <v>6499</v>
      </c>
      <c r="D291">
        <v>5.2699999809265101</v>
      </c>
      <c r="E291">
        <v>5.2699999809265101</v>
      </c>
      <c r="F291">
        <v>0</v>
      </c>
      <c r="G291">
        <v>0</v>
      </c>
      <c r="H291">
        <v>0</v>
      </c>
      <c r="I291">
        <v>5.2699999809265101</v>
      </c>
      <c r="J291">
        <v>0</v>
      </c>
      <c r="K291">
        <v>0</v>
      </c>
      <c r="L291">
        <v>0</v>
      </c>
      <c r="M291">
        <v>207</v>
      </c>
      <c r="N291">
        <v>809</v>
      </c>
      <c r="O291">
        <v>2677</v>
      </c>
      <c r="P291" t="str">
        <f t="shared" si="20"/>
        <v>Valid</v>
      </c>
      <c r="Q291" t="str">
        <f t="shared" si="21"/>
        <v>weekdays</v>
      </c>
      <c r="R291" t="str" cm="1">
        <f t="array" ref="R291">_xlfn.IFS(
N291=MAX(K291,L291,M291,N291),"Sedentary",M291
=MAX(K291,L291,M291,N291),"Lightly Active",
L291=MAX(K291,L291,M291,N291),"Fairly Active",
K291=MAX(K291,L291,M291,N291),"Very Active"
)</f>
        <v>Sedentary</v>
      </c>
      <c r="S291" t="str">
        <f t="shared" si="22"/>
        <v>Sedentary</v>
      </c>
    </row>
    <row r="292" spans="1:19" x14ac:dyDescent="0.3">
      <c r="A292">
        <v>4702921684</v>
      </c>
      <c r="B292" s="1">
        <v>42472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1440</v>
      </c>
      <c r="O292">
        <v>0</v>
      </c>
      <c r="P292" t="str">
        <f>IF(AND(C292=0,D292=0,L292&gt;0),"Invalid","Valid")</f>
        <v>Valid</v>
      </c>
      <c r="Q292" t="str">
        <f t="shared" si="21"/>
        <v>weekdays</v>
      </c>
      <c r="R292" t="str" cm="1">
        <f t="array" ref="R292">_xlfn.IFS(
N292=MAX(K292,L292,M292,N292),"Sedentary",M292
=MAX(K292,L292,M292,N292),"Lightly Active",
L292=MAX(K292,L292,M292,N292),"Fairly Active",
K292=MAX(K292,L292,M292,N292),"Very Active"
)</f>
        <v>Sedentary</v>
      </c>
      <c r="S292" t="str">
        <f t="shared" si="22"/>
        <v>Sedentary</v>
      </c>
    </row>
    <row r="293" spans="1:19" x14ac:dyDescent="0.3">
      <c r="A293">
        <v>5553957443</v>
      </c>
      <c r="B293" s="1">
        <v>42461</v>
      </c>
      <c r="C293">
        <v>12409</v>
      </c>
      <c r="D293">
        <v>8.1000003814697301</v>
      </c>
      <c r="E293">
        <v>8.1000003814697301</v>
      </c>
      <c r="F293">
        <v>0</v>
      </c>
      <c r="G293">
        <v>2.9000000953674299</v>
      </c>
      <c r="H293">
        <v>0.62999999523162797</v>
      </c>
      <c r="I293">
        <v>4.5799999237060502</v>
      </c>
      <c r="J293">
        <v>0</v>
      </c>
      <c r="K293">
        <v>51</v>
      </c>
      <c r="L293">
        <v>12</v>
      </c>
      <c r="M293">
        <v>235</v>
      </c>
      <c r="N293">
        <v>782</v>
      </c>
      <c r="O293">
        <v>2142</v>
      </c>
      <c r="P293" t="str">
        <f t="shared" ref="P293:P317" si="23">IF(AND(C293=0,D293=0,L293&gt;0),"Invalid","Valid")</f>
        <v>Valid</v>
      </c>
      <c r="Q293" t="str">
        <f t="shared" si="21"/>
        <v>weekdays</v>
      </c>
      <c r="R293" t="str" cm="1">
        <f t="array" ref="R293">_xlfn.IFS(
N293=MAX(K293,L293,M293,N293),"Sedentary",M293
=MAX(K293,L293,M293,N293),"Lightly Active",
L293=MAX(K293,L293,M293,N293),"Fairly Active",
K293=MAX(K293,L293,M293,N293),"Very Active"
)</f>
        <v>Sedentary</v>
      </c>
      <c r="S293" t="str">
        <f t="shared" si="22"/>
        <v>Sedentary</v>
      </c>
    </row>
    <row r="294" spans="1:19" x14ac:dyDescent="0.3">
      <c r="A294">
        <v>5553957443</v>
      </c>
      <c r="B294" s="1">
        <v>42462</v>
      </c>
      <c r="C294">
        <v>2937</v>
      </c>
      <c r="D294">
        <v>1.91999995708466</v>
      </c>
      <c r="E294">
        <v>1.91999995708466</v>
      </c>
      <c r="F294">
        <v>0</v>
      </c>
      <c r="G294">
        <v>0</v>
      </c>
      <c r="H294">
        <v>0</v>
      </c>
      <c r="I294">
        <v>1.9099999666214</v>
      </c>
      <c r="J294">
        <v>0</v>
      </c>
      <c r="K294">
        <v>0</v>
      </c>
      <c r="L294">
        <v>0</v>
      </c>
      <c r="M294">
        <v>181</v>
      </c>
      <c r="N294">
        <v>356</v>
      </c>
      <c r="O294">
        <v>1615</v>
      </c>
      <c r="P294" t="str">
        <f t="shared" si="23"/>
        <v>Valid</v>
      </c>
      <c r="Q294" t="str">
        <f t="shared" si="21"/>
        <v>weekends</v>
      </c>
      <c r="R294" t="str" cm="1">
        <f t="array" ref="R294">_xlfn.IFS(
N294=MAX(K294,L294,M294,N294),"Sedentary",M294
=MAX(K294,L294,M294,N294),"Lightly Active",
L294=MAX(K294,L294,M294,N294),"Fairly Active",
K294=MAX(K294,L294,M294,N294),"Very Active"
)</f>
        <v>Sedentary</v>
      </c>
      <c r="S294" t="str">
        <f t="shared" si="22"/>
        <v>Sedentary</v>
      </c>
    </row>
    <row r="295" spans="1:19" x14ac:dyDescent="0.3">
      <c r="A295">
        <v>5553957443</v>
      </c>
      <c r="B295" s="1">
        <v>42463</v>
      </c>
      <c r="C295">
        <v>1515</v>
      </c>
      <c r="D295">
        <v>0.99000000953674305</v>
      </c>
      <c r="E295">
        <v>0.99000000953674305</v>
      </c>
      <c r="F295">
        <v>0</v>
      </c>
      <c r="G295">
        <v>0</v>
      </c>
      <c r="H295">
        <v>0</v>
      </c>
      <c r="I295">
        <v>0.99000000953674305</v>
      </c>
      <c r="J295">
        <v>0</v>
      </c>
      <c r="K295">
        <v>0</v>
      </c>
      <c r="L295">
        <v>0</v>
      </c>
      <c r="M295">
        <v>93</v>
      </c>
      <c r="N295">
        <v>507</v>
      </c>
      <c r="O295">
        <v>1481</v>
      </c>
      <c r="P295" t="str">
        <f t="shared" si="23"/>
        <v>Valid</v>
      </c>
      <c r="Q295" t="str">
        <f t="shared" si="21"/>
        <v>weekends</v>
      </c>
      <c r="R295" t="str" cm="1">
        <f t="array" ref="R295">_xlfn.IFS(
N295=MAX(K295,L295,M295,N295),"Sedentary",M295
=MAX(K295,L295,M295,N295),"Lightly Active",
L295=MAX(K295,L295,M295,N295),"Fairly Active",
K295=MAX(K295,L295,M295,N295),"Very Active"
)</f>
        <v>Sedentary</v>
      </c>
      <c r="S295" t="str">
        <f t="shared" si="22"/>
        <v>Sedentary</v>
      </c>
    </row>
    <row r="296" spans="1:19" x14ac:dyDescent="0.3">
      <c r="A296">
        <v>5553957443</v>
      </c>
      <c r="B296" s="1">
        <v>42464</v>
      </c>
      <c r="C296">
        <v>8921</v>
      </c>
      <c r="D296">
        <v>5.8800001144409197</v>
      </c>
      <c r="E296">
        <v>5.8800001144409197</v>
      </c>
      <c r="F296">
        <v>0</v>
      </c>
      <c r="G296">
        <v>2.0699999332428001</v>
      </c>
      <c r="H296">
        <v>0.43999999761581399</v>
      </c>
      <c r="I296">
        <v>3.3599998950958301</v>
      </c>
      <c r="J296">
        <v>0</v>
      </c>
      <c r="K296">
        <v>27</v>
      </c>
      <c r="L296">
        <v>8</v>
      </c>
      <c r="M296">
        <v>198</v>
      </c>
      <c r="N296">
        <v>754</v>
      </c>
      <c r="O296">
        <v>1892</v>
      </c>
      <c r="P296" t="str">
        <f t="shared" si="23"/>
        <v>Valid</v>
      </c>
      <c r="Q296" t="str">
        <f t="shared" si="21"/>
        <v>weekdays</v>
      </c>
      <c r="R296" t="str" cm="1">
        <f t="array" ref="R296">_xlfn.IFS(
N296=MAX(K296,L296,M296,N296),"Sedentary",M296
=MAX(K296,L296,M296,N296),"Lightly Active",
L296=MAX(K296,L296,M296,N296),"Fairly Active",
K296=MAX(K296,L296,M296,N296),"Very Active"
)</f>
        <v>Sedentary</v>
      </c>
      <c r="S296" t="str">
        <f t="shared" si="22"/>
        <v>Sedentary</v>
      </c>
    </row>
    <row r="297" spans="1:19" x14ac:dyDescent="0.3">
      <c r="A297">
        <v>5553957443</v>
      </c>
      <c r="B297" s="1">
        <v>42465</v>
      </c>
      <c r="C297">
        <v>11306</v>
      </c>
      <c r="D297">
        <v>7.3800001144409197</v>
      </c>
      <c r="E297">
        <v>7.3800001144409197</v>
      </c>
      <c r="F297">
        <v>0</v>
      </c>
      <c r="G297">
        <v>2.3099999427795401</v>
      </c>
      <c r="H297">
        <v>0.980000019073486</v>
      </c>
      <c r="I297">
        <v>4.0900001525878897</v>
      </c>
      <c r="J297">
        <v>0</v>
      </c>
      <c r="K297">
        <v>40</v>
      </c>
      <c r="L297">
        <v>26</v>
      </c>
      <c r="M297">
        <v>218</v>
      </c>
      <c r="N297">
        <v>772</v>
      </c>
      <c r="O297">
        <v>2086</v>
      </c>
      <c r="P297" t="str">
        <f t="shared" si="23"/>
        <v>Valid</v>
      </c>
      <c r="Q297" t="str">
        <f t="shared" si="21"/>
        <v>weekdays</v>
      </c>
      <c r="R297" t="str" cm="1">
        <f t="array" ref="R297">_xlfn.IFS(
N297=MAX(K297,L297,M297,N297),"Sedentary",M297
=MAX(K297,L297,M297,N297),"Lightly Active",
L297=MAX(K297,L297,M297,N297),"Fairly Active",
K297=MAX(K297,L297,M297,N297),"Very Active"
)</f>
        <v>Sedentary</v>
      </c>
      <c r="S297" t="str">
        <f t="shared" si="22"/>
        <v>Sedentary</v>
      </c>
    </row>
    <row r="298" spans="1:19" x14ac:dyDescent="0.3">
      <c r="A298">
        <v>5553957443</v>
      </c>
      <c r="B298" s="1">
        <v>42466</v>
      </c>
      <c r="C298">
        <v>12252</v>
      </c>
      <c r="D298">
        <v>8</v>
      </c>
      <c r="E298">
        <v>8</v>
      </c>
      <c r="F298">
        <v>0</v>
      </c>
      <c r="G298">
        <v>2.4100000858306898</v>
      </c>
      <c r="H298">
        <v>1.70000004768372</v>
      </c>
      <c r="I298">
        <v>3.8900001049041699</v>
      </c>
      <c r="J298">
        <v>0</v>
      </c>
      <c r="K298">
        <v>33</v>
      </c>
      <c r="L298">
        <v>28</v>
      </c>
      <c r="M298">
        <v>229</v>
      </c>
      <c r="N298">
        <v>745</v>
      </c>
      <c r="O298">
        <v>2044</v>
      </c>
      <c r="P298" t="str">
        <f t="shared" si="23"/>
        <v>Valid</v>
      </c>
      <c r="Q298" t="str">
        <f t="shared" si="21"/>
        <v>weekdays</v>
      </c>
      <c r="R298" t="str" cm="1">
        <f t="array" ref="R298">_xlfn.IFS(
N298=MAX(K298,L298,M298,N298),"Sedentary",M298
=MAX(K298,L298,M298,N298),"Lightly Active",
L298=MAX(K298,L298,M298,N298),"Fairly Active",
K298=MAX(K298,L298,M298,N298),"Very Active"
)</f>
        <v>Sedentary</v>
      </c>
      <c r="S298" t="str">
        <f t="shared" si="22"/>
        <v>Sedentary</v>
      </c>
    </row>
    <row r="299" spans="1:19" x14ac:dyDescent="0.3">
      <c r="A299">
        <v>5553957443</v>
      </c>
      <c r="B299" s="1">
        <v>42467</v>
      </c>
      <c r="C299">
        <v>15444</v>
      </c>
      <c r="D299">
        <v>10.079999923706101</v>
      </c>
      <c r="E299">
        <v>10.079999923706101</v>
      </c>
      <c r="F299">
        <v>0</v>
      </c>
      <c r="G299">
        <v>3.2699999809265101</v>
      </c>
      <c r="H299">
        <v>1.7300000190734901</v>
      </c>
      <c r="I299">
        <v>5.0799999237060502</v>
      </c>
      <c r="J299">
        <v>0</v>
      </c>
      <c r="K299">
        <v>51</v>
      </c>
      <c r="L299">
        <v>39</v>
      </c>
      <c r="M299">
        <v>243</v>
      </c>
      <c r="N299">
        <v>731</v>
      </c>
      <c r="O299">
        <v>2249</v>
      </c>
      <c r="P299" t="str">
        <f t="shared" si="23"/>
        <v>Valid</v>
      </c>
      <c r="Q299" t="str">
        <f t="shared" si="21"/>
        <v>weekdays</v>
      </c>
      <c r="R299" t="str" cm="1">
        <f t="array" ref="R299">_xlfn.IFS(
N299=MAX(K299,L299,M299,N299),"Sedentary",M299
=MAX(K299,L299,M299,N299),"Lightly Active",
L299=MAX(K299,L299,M299,N299),"Fairly Active",
K299=MAX(K299,L299,M299,N299),"Very Active"
)</f>
        <v>Sedentary</v>
      </c>
      <c r="S299" t="str">
        <f t="shared" si="22"/>
        <v>Sedentary</v>
      </c>
    </row>
    <row r="300" spans="1:19" x14ac:dyDescent="0.3">
      <c r="A300">
        <v>5553957443</v>
      </c>
      <c r="B300" s="1">
        <v>42468</v>
      </c>
      <c r="C300">
        <v>9938</v>
      </c>
      <c r="D300">
        <v>6.4899997711181596</v>
      </c>
      <c r="E300">
        <v>6.4899997711181596</v>
      </c>
      <c r="F300">
        <v>0</v>
      </c>
      <c r="G300">
        <v>2.1400001049041699</v>
      </c>
      <c r="H300">
        <v>1.2799999713897701</v>
      </c>
      <c r="I300">
        <v>3.0799999237060498</v>
      </c>
      <c r="J300">
        <v>0</v>
      </c>
      <c r="K300">
        <v>38</v>
      </c>
      <c r="L300">
        <v>24</v>
      </c>
      <c r="M300">
        <v>193</v>
      </c>
      <c r="N300">
        <v>767</v>
      </c>
      <c r="O300">
        <v>2019</v>
      </c>
      <c r="P300" t="str">
        <f t="shared" si="23"/>
        <v>Valid</v>
      </c>
      <c r="Q300" t="str">
        <f t="shared" si="21"/>
        <v>weekdays</v>
      </c>
      <c r="R300" t="str" cm="1">
        <f t="array" ref="R300">_xlfn.IFS(
N300=MAX(K300,L300,M300,N300),"Sedentary",M300
=MAX(K300,L300,M300,N300),"Lightly Active",
L300=MAX(K300,L300,M300,N300),"Fairly Active",
K300=MAX(K300,L300,M300,N300),"Very Active"
)</f>
        <v>Sedentary</v>
      </c>
      <c r="S300" t="str">
        <f t="shared" si="22"/>
        <v>Sedentary</v>
      </c>
    </row>
    <row r="301" spans="1:19" x14ac:dyDescent="0.3">
      <c r="A301">
        <v>5553957443</v>
      </c>
      <c r="B301" s="1">
        <v>42469</v>
      </c>
      <c r="C301">
        <v>4599</v>
      </c>
      <c r="D301">
        <v>3</v>
      </c>
      <c r="E301">
        <v>3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176</v>
      </c>
      <c r="N301">
        <v>578</v>
      </c>
      <c r="O301">
        <v>1692</v>
      </c>
      <c r="P301" t="str">
        <f t="shared" si="23"/>
        <v>Valid</v>
      </c>
      <c r="Q301" t="str">
        <f t="shared" si="21"/>
        <v>weekends</v>
      </c>
      <c r="R301" t="str" cm="1">
        <f t="array" ref="R301">_xlfn.IFS(
N301=MAX(K301,L301,M301,N301),"Sedentary",M301
=MAX(K301,L301,M301,N301),"Lightly Active",
L301=MAX(K301,L301,M301,N301),"Fairly Active",
K301=MAX(K301,L301,M301,N301),"Very Active"
)</f>
        <v>Sedentary</v>
      </c>
      <c r="S301" t="str">
        <f t="shared" si="22"/>
        <v>Sedentary</v>
      </c>
    </row>
    <row r="302" spans="1:19" x14ac:dyDescent="0.3">
      <c r="A302">
        <v>5553957443</v>
      </c>
      <c r="B302" s="1">
        <v>42470</v>
      </c>
      <c r="C302">
        <v>5594</v>
      </c>
      <c r="D302">
        <v>3.6500000953674299</v>
      </c>
      <c r="E302">
        <v>3.6500000953674299</v>
      </c>
      <c r="F302">
        <v>0</v>
      </c>
      <c r="G302">
        <v>0.28000000119209301</v>
      </c>
      <c r="H302">
        <v>1.4800000190734901</v>
      </c>
      <c r="I302">
        <v>1.8899999856948899</v>
      </c>
      <c r="J302">
        <v>0</v>
      </c>
      <c r="K302">
        <v>4</v>
      </c>
      <c r="L302">
        <v>25</v>
      </c>
      <c r="M302">
        <v>150</v>
      </c>
      <c r="N302">
        <v>552</v>
      </c>
      <c r="O302">
        <v>1712</v>
      </c>
      <c r="P302" t="str">
        <f t="shared" si="23"/>
        <v>Valid</v>
      </c>
      <c r="Q302" t="str">
        <f t="shared" si="21"/>
        <v>weekends</v>
      </c>
      <c r="R302" t="str" cm="1">
        <f t="array" ref="R302">_xlfn.IFS(
N302=MAX(K302,L302,M302,N302),"Sedentary",M302
=MAX(K302,L302,M302,N302),"Lightly Active",
L302=MAX(K302,L302,M302,N302),"Fairly Active",
K302=MAX(K302,L302,M302,N302),"Very Active"
)</f>
        <v>Sedentary</v>
      </c>
      <c r="S302" t="str">
        <f t="shared" si="22"/>
        <v>Sedentary</v>
      </c>
    </row>
    <row r="303" spans="1:19" x14ac:dyDescent="0.3">
      <c r="A303">
        <v>5553957443</v>
      </c>
      <c r="B303" s="1">
        <v>42471</v>
      </c>
      <c r="C303">
        <v>11906</v>
      </c>
      <c r="D303">
        <v>7.7699999809265101</v>
      </c>
      <c r="E303">
        <v>7.7699999809265101</v>
      </c>
      <c r="F303">
        <v>0</v>
      </c>
      <c r="G303">
        <v>2.2599999904632599</v>
      </c>
      <c r="H303">
        <v>1.5199999809265099</v>
      </c>
      <c r="I303">
        <v>3.9900000095367401</v>
      </c>
      <c r="J303">
        <v>0</v>
      </c>
      <c r="K303">
        <v>32</v>
      </c>
      <c r="L303">
        <v>27</v>
      </c>
      <c r="M303">
        <v>234</v>
      </c>
      <c r="N303">
        <v>688</v>
      </c>
      <c r="O303">
        <v>2065</v>
      </c>
      <c r="P303" t="str">
        <f t="shared" si="23"/>
        <v>Valid</v>
      </c>
      <c r="Q303" t="str">
        <f t="shared" si="21"/>
        <v>weekdays</v>
      </c>
      <c r="R303" t="str" cm="1">
        <f t="array" ref="R303">_xlfn.IFS(
N303=MAX(K303,L303,M303,N303),"Sedentary",M303
=MAX(K303,L303,M303,N303),"Lightly Active",
L303=MAX(K303,L303,M303,N303),"Fairly Active",
K303=MAX(K303,L303,M303,N303),"Very Active"
)</f>
        <v>Sedentary</v>
      </c>
      <c r="S303" t="str">
        <f t="shared" si="22"/>
        <v>Active</v>
      </c>
    </row>
    <row r="304" spans="1:19" x14ac:dyDescent="0.3">
      <c r="A304">
        <v>5553957443</v>
      </c>
      <c r="B304" s="1">
        <v>42472</v>
      </c>
      <c r="C304">
        <v>3436</v>
      </c>
      <c r="D304">
        <v>2.2400000095367401</v>
      </c>
      <c r="E304">
        <v>2.2400000095367401</v>
      </c>
      <c r="F304">
        <v>0</v>
      </c>
      <c r="G304">
        <v>0.5</v>
      </c>
      <c r="H304">
        <v>0.67000001668930098</v>
      </c>
      <c r="I304">
        <v>1.04999995231628</v>
      </c>
      <c r="J304">
        <v>0</v>
      </c>
      <c r="K304">
        <v>7</v>
      </c>
      <c r="L304">
        <v>11</v>
      </c>
      <c r="M304">
        <v>50</v>
      </c>
      <c r="N304">
        <v>61</v>
      </c>
      <c r="O304">
        <v>633</v>
      </c>
      <c r="P304" t="str">
        <f t="shared" si="23"/>
        <v>Valid</v>
      </c>
      <c r="Q304" t="str">
        <f t="shared" si="21"/>
        <v>weekdays</v>
      </c>
      <c r="R304" t="str" cm="1">
        <f t="array" ref="R304">_xlfn.IFS(
N304=MAX(K304,L304,M304,N304),"Sedentary",M304
=MAX(K304,L304,M304,N304),"Lightly Active",
L304=MAX(K304,L304,M304,N304),"Fairly Active",
K304=MAX(K304,L304,M304,N304),"Very Active"
)</f>
        <v>Sedentary</v>
      </c>
      <c r="S304" t="str">
        <f t="shared" si="22"/>
        <v>Sedentary</v>
      </c>
    </row>
    <row r="305" spans="1:19" x14ac:dyDescent="0.3">
      <c r="A305">
        <v>5577150313</v>
      </c>
      <c r="B305" s="1">
        <v>42461</v>
      </c>
      <c r="C305">
        <v>10461</v>
      </c>
      <c r="D305">
        <v>7.8699998855590803</v>
      </c>
      <c r="E305">
        <v>7.8699998855590803</v>
      </c>
      <c r="F305">
        <v>0</v>
      </c>
      <c r="G305">
        <v>4.7600002288818404</v>
      </c>
      <c r="H305">
        <v>0.85000002384185802</v>
      </c>
      <c r="I305">
        <v>2.25</v>
      </c>
      <c r="J305">
        <v>0</v>
      </c>
      <c r="K305">
        <v>99</v>
      </c>
      <c r="L305">
        <v>31</v>
      </c>
      <c r="M305">
        <v>142</v>
      </c>
      <c r="N305">
        <v>721</v>
      </c>
      <c r="O305">
        <v>3625</v>
      </c>
      <c r="P305" t="str">
        <f t="shared" si="23"/>
        <v>Valid</v>
      </c>
      <c r="Q305" t="str">
        <f t="shared" si="21"/>
        <v>weekdays</v>
      </c>
      <c r="R305" t="str" cm="1">
        <f t="array" ref="R305">_xlfn.IFS(
N305=MAX(K305,L305,M305,N305),"Sedentary",M305
=MAX(K305,L305,M305,N305),"Lightly Active",
L305=MAX(K305,L305,M305,N305),"Fairly Active",
K305=MAX(K305,L305,M305,N305),"Very Active"
)</f>
        <v>Sedentary</v>
      </c>
      <c r="S305" t="str">
        <f t="shared" si="22"/>
        <v>Sedentary</v>
      </c>
    </row>
    <row r="306" spans="1:19" x14ac:dyDescent="0.3">
      <c r="A306">
        <v>5577150313</v>
      </c>
      <c r="B306" s="1">
        <v>42462</v>
      </c>
      <c r="C306">
        <v>14873</v>
      </c>
      <c r="D306">
        <v>11.1099996566772</v>
      </c>
      <c r="E306">
        <v>11.1099996566772</v>
      </c>
      <c r="F306">
        <v>0</v>
      </c>
      <c r="G306">
        <v>8.1899995803833008</v>
      </c>
      <c r="H306">
        <v>0.60000002384185802</v>
      </c>
      <c r="I306">
        <v>2.3099999427795401</v>
      </c>
      <c r="J306">
        <v>0</v>
      </c>
      <c r="K306">
        <v>202</v>
      </c>
      <c r="L306">
        <v>36</v>
      </c>
      <c r="M306">
        <v>153</v>
      </c>
      <c r="N306">
        <v>663</v>
      </c>
      <c r="O306">
        <v>4430</v>
      </c>
      <c r="P306" t="str">
        <f t="shared" si="23"/>
        <v>Valid</v>
      </c>
      <c r="Q306" t="str">
        <f t="shared" si="21"/>
        <v>weekends</v>
      </c>
      <c r="R306" t="str" cm="1">
        <f t="array" ref="R306">_xlfn.IFS(
N306=MAX(K306,L306,M306,N306),"Sedentary",M306
=MAX(K306,L306,M306,N306),"Lightly Active",
L306=MAX(K306,L306,M306,N306),"Fairly Active",
K306=MAX(K306,L306,M306,N306),"Very Active"
)</f>
        <v>Sedentary</v>
      </c>
      <c r="S306" t="str">
        <f t="shared" si="22"/>
        <v>Sedentary</v>
      </c>
    </row>
    <row r="307" spans="1:19" x14ac:dyDescent="0.3">
      <c r="A307">
        <v>5577150313</v>
      </c>
      <c r="B307" s="1">
        <v>42463</v>
      </c>
      <c r="C307">
        <v>9917</v>
      </c>
      <c r="D307">
        <v>7.4099998474121103</v>
      </c>
      <c r="E307">
        <v>7.4099998474121103</v>
      </c>
      <c r="F307">
        <v>0</v>
      </c>
      <c r="G307">
        <v>1.9900000095367401</v>
      </c>
      <c r="H307">
        <v>0.97000002861022905</v>
      </c>
      <c r="I307">
        <v>4.4400000572204599</v>
      </c>
      <c r="J307">
        <v>0</v>
      </c>
      <c r="K307">
        <v>58</v>
      </c>
      <c r="L307">
        <v>27</v>
      </c>
      <c r="M307">
        <v>240</v>
      </c>
      <c r="N307">
        <v>700</v>
      </c>
      <c r="O307">
        <v>3427</v>
      </c>
      <c r="P307" t="str">
        <f t="shared" si="23"/>
        <v>Valid</v>
      </c>
      <c r="Q307" t="str">
        <f t="shared" si="21"/>
        <v>weekends</v>
      </c>
      <c r="R307" t="str" cm="1">
        <f t="array" ref="R307">_xlfn.IFS(
N307=MAX(K307,L307,M307,N307),"Sedentary",M307
=MAX(K307,L307,M307,N307),"Lightly Active",
L307=MAX(K307,L307,M307,N307),"Fairly Active",
K307=MAX(K307,L307,M307,N307),"Very Active"
)</f>
        <v>Sedentary</v>
      </c>
      <c r="S307" t="str">
        <f t="shared" si="22"/>
        <v>Sedentary</v>
      </c>
    </row>
    <row r="308" spans="1:19" x14ac:dyDescent="0.3">
      <c r="A308">
        <v>5577150313</v>
      </c>
      <c r="B308" s="1">
        <v>42464</v>
      </c>
      <c r="C308">
        <v>7401</v>
      </c>
      <c r="D308">
        <v>5.5599999427795401</v>
      </c>
      <c r="E308">
        <v>5.5599999427795401</v>
      </c>
      <c r="F308">
        <v>0</v>
      </c>
      <c r="G308">
        <v>2.3199999332428001</v>
      </c>
      <c r="H308">
        <v>0.36000001430511502</v>
      </c>
      <c r="I308">
        <v>2.8800001144409202</v>
      </c>
      <c r="J308">
        <v>0</v>
      </c>
      <c r="K308">
        <v>70</v>
      </c>
      <c r="L308">
        <v>19</v>
      </c>
      <c r="M308">
        <v>204</v>
      </c>
      <c r="N308">
        <v>689</v>
      </c>
      <c r="O308">
        <v>3492</v>
      </c>
      <c r="P308" t="str">
        <f t="shared" si="23"/>
        <v>Valid</v>
      </c>
      <c r="Q308" t="str">
        <f t="shared" si="21"/>
        <v>weekdays</v>
      </c>
      <c r="R308" t="str" cm="1">
        <f t="array" ref="R308">_xlfn.IFS(
N308=MAX(K308,L308,M308,N308),"Sedentary",M308
=MAX(K308,L308,M308,N308),"Lightly Active",
L308=MAX(K308,L308,M308,N308),"Fairly Active",
K308=MAX(K308,L308,M308,N308),"Very Active"
)</f>
        <v>Sedentary</v>
      </c>
      <c r="S308" t="str">
        <f t="shared" si="22"/>
        <v>Sedentary</v>
      </c>
    </row>
    <row r="309" spans="1:19" x14ac:dyDescent="0.3">
      <c r="A309">
        <v>5577150313</v>
      </c>
      <c r="B309" s="1">
        <v>42465</v>
      </c>
      <c r="C309">
        <v>8964</v>
      </c>
      <c r="D309">
        <v>6.6999998092651403</v>
      </c>
      <c r="E309">
        <v>6.6999998092651403</v>
      </c>
      <c r="F309">
        <v>0</v>
      </c>
      <c r="G309">
        <v>3.9700000286102299</v>
      </c>
      <c r="H309">
        <v>0.18999999761581399</v>
      </c>
      <c r="I309">
        <v>2.5299999713897701</v>
      </c>
      <c r="J309">
        <v>0</v>
      </c>
      <c r="K309">
        <v>107</v>
      </c>
      <c r="L309">
        <v>18</v>
      </c>
      <c r="M309">
        <v>145</v>
      </c>
      <c r="N309">
        <v>756</v>
      </c>
      <c r="O309">
        <v>3597</v>
      </c>
      <c r="P309" t="str">
        <f t="shared" si="23"/>
        <v>Valid</v>
      </c>
      <c r="Q309" t="str">
        <f t="shared" si="21"/>
        <v>weekdays</v>
      </c>
      <c r="R309" t="str" cm="1">
        <f t="array" ref="R309">_xlfn.IFS(
N309=MAX(K309,L309,M309,N309),"Sedentary",M309
=MAX(K309,L309,M309,N309),"Lightly Active",
L309=MAX(K309,L309,M309,N309),"Fairly Active",
K309=MAX(K309,L309,M309,N309),"Very Active"
)</f>
        <v>Sedentary</v>
      </c>
      <c r="S309" t="str">
        <f t="shared" si="22"/>
        <v>Sedentary</v>
      </c>
    </row>
    <row r="310" spans="1:19" x14ac:dyDescent="0.3">
      <c r="A310">
        <v>5577150313</v>
      </c>
      <c r="B310" s="1">
        <v>42466</v>
      </c>
      <c r="C310">
        <v>11080</v>
      </c>
      <c r="D310">
        <v>8.3000001907348597</v>
      </c>
      <c r="E310">
        <v>8.3000001907348597</v>
      </c>
      <c r="F310">
        <v>0</v>
      </c>
      <c r="G310">
        <v>3.1300001144409202</v>
      </c>
      <c r="H310">
        <v>1.37000000476837</v>
      </c>
      <c r="I310">
        <v>3.8099999427795401</v>
      </c>
      <c r="J310">
        <v>0</v>
      </c>
      <c r="K310">
        <v>83</v>
      </c>
      <c r="L310">
        <v>52</v>
      </c>
      <c r="M310">
        <v>190</v>
      </c>
      <c r="N310">
        <v>695</v>
      </c>
      <c r="O310">
        <v>3765</v>
      </c>
      <c r="P310" t="str">
        <f t="shared" si="23"/>
        <v>Valid</v>
      </c>
      <c r="Q310" t="str">
        <f t="shared" si="21"/>
        <v>weekdays</v>
      </c>
      <c r="R310" t="str" cm="1">
        <f t="array" ref="R310">_xlfn.IFS(
N310=MAX(K310,L310,M310,N310),"Sedentary",M310
=MAX(K310,L310,M310,N310),"Lightly Active",
L310=MAX(K310,L310,M310,N310),"Fairly Active",
K310=MAX(K310,L310,M310,N310),"Very Active"
)</f>
        <v>Sedentary</v>
      </c>
      <c r="S310" t="str">
        <f t="shared" si="22"/>
        <v>Sedentary</v>
      </c>
    </row>
    <row r="311" spans="1:19" x14ac:dyDescent="0.3">
      <c r="A311">
        <v>5577150313</v>
      </c>
      <c r="B311" s="1">
        <v>42467</v>
      </c>
      <c r="C311">
        <v>4499</v>
      </c>
      <c r="D311">
        <v>3.3599998950958301</v>
      </c>
      <c r="E311">
        <v>3.3599998950958301</v>
      </c>
      <c r="F311">
        <v>0</v>
      </c>
      <c r="G311">
        <v>0.88999998569488503</v>
      </c>
      <c r="H311">
        <v>0.259999990463257</v>
      </c>
      <c r="I311">
        <v>2.21000003814697</v>
      </c>
      <c r="J311">
        <v>0</v>
      </c>
      <c r="K311">
        <v>31</v>
      </c>
      <c r="L311">
        <v>11</v>
      </c>
      <c r="M311">
        <v>146</v>
      </c>
      <c r="N311">
        <v>756</v>
      </c>
      <c r="O311">
        <v>2775</v>
      </c>
      <c r="P311" t="str">
        <f t="shared" si="23"/>
        <v>Valid</v>
      </c>
      <c r="Q311" t="str">
        <f t="shared" si="21"/>
        <v>weekdays</v>
      </c>
      <c r="R311" t="str" cm="1">
        <f t="array" ref="R311">_xlfn.IFS(
N311=MAX(K311,L311,M311,N311),"Sedentary",M311
=MAX(K311,L311,M311,N311),"Lightly Active",
L311=MAX(K311,L311,M311,N311),"Fairly Active",
K311=MAX(K311,L311,M311,N311),"Very Active"
)</f>
        <v>Sedentary</v>
      </c>
      <c r="S311" t="str">
        <f t="shared" si="22"/>
        <v>Sedentary</v>
      </c>
    </row>
    <row r="312" spans="1:19" x14ac:dyDescent="0.3">
      <c r="A312">
        <v>5577150313</v>
      </c>
      <c r="B312" s="1">
        <v>42468</v>
      </c>
      <c r="C312">
        <v>4363</v>
      </c>
      <c r="D312">
        <v>3.2599999904632599</v>
      </c>
      <c r="E312">
        <v>3.2599999904632599</v>
      </c>
      <c r="F312">
        <v>0</v>
      </c>
      <c r="G312">
        <v>0.129999995231628</v>
      </c>
      <c r="H312">
        <v>5.9999998658895499E-2</v>
      </c>
      <c r="I312">
        <v>3.0799999237060498</v>
      </c>
      <c r="J312">
        <v>0</v>
      </c>
      <c r="K312">
        <v>8</v>
      </c>
      <c r="L312">
        <v>2</v>
      </c>
      <c r="M312">
        <v>156</v>
      </c>
      <c r="N312">
        <v>813</v>
      </c>
      <c r="O312">
        <v>2486</v>
      </c>
      <c r="P312" t="str">
        <f t="shared" si="23"/>
        <v>Valid</v>
      </c>
      <c r="Q312" t="str">
        <f t="shared" si="21"/>
        <v>weekdays</v>
      </c>
      <c r="R312" t="str" cm="1">
        <f t="array" ref="R312">_xlfn.IFS(
N312=MAX(K312,L312,M312,N312),"Sedentary",M312
=MAX(K312,L312,M312,N312),"Lightly Active",
L312=MAX(K312,L312,M312,N312),"Fairly Active",
K312=MAX(K312,L312,M312,N312),"Very Active"
)</f>
        <v>Sedentary</v>
      </c>
      <c r="S312" t="str">
        <f t="shared" si="22"/>
        <v>Sedentary</v>
      </c>
    </row>
    <row r="313" spans="1:19" x14ac:dyDescent="0.3">
      <c r="A313">
        <v>5577150313</v>
      </c>
      <c r="B313" s="1">
        <v>42469</v>
      </c>
      <c r="C313">
        <v>10494</v>
      </c>
      <c r="D313">
        <v>7.8400001525878897</v>
      </c>
      <c r="E313">
        <v>7.8400001525878897</v>
      </c>
      <c r="F313">
        <v>0</v>
      </c>
      <c r="G313">
        <v>4.9099998474121103</v>
      </c>
      <c r="H313">
        <v>0.77999997138977095</v>
      </c>
      <c r="I313">
        <v>2.1500000953674299</v>
      </c>
      <c r="J313">
        <v>0</v>
      </c>
      <c r="K313">
        <v>123</v>
      </c>
      <c r="L313">
        <v>62</v>
      </c>
      <c r="M313">
        <v>138</v>
      </c>
      <c r="N313">
        <v>601</v>
      </c>
      <c r="O313">
        <v>3817</v>
      </c>
      <c r="P313" t="str">
        <f t="shared" si="23"/>
        <v>Valid</v>
      </c>
      <c r="Q313" t="str">
        <f t="shared" si="21"/>
        <v>weekends</v>
      </c>
      <c r="R313" t="str" cm="1">
        <f t="array" ref="R313">_xlfn.IFS(
N313=MAX(K313,L313,M313,N313),"Sedentary",M313
=MAX(K313,L313,M313,N313),"Lightly Active",
L313=MAX(K313,L313,M313,N313),"Fairly Active",
K313=MAX(K313,L313,M313,N313),"Very Active"
)</f>
        <v>Sedentary</v>
      </c>
      <c r="S313" t="str">
        <f t="shared" si="22"/>
        <v>Sedentary</v>
      </c>
    </row>
    <row r="314" spans="1:19" x14ac:dyDescent="0.3">
      <c r="A314">
        <v>5577150313</v>
      </c>
      <c r="B314" s="1">
        <v>42470</v>
      </c>
      <c r="C314">
        <v>9776</v>
      </c>
      <c r="D314">
        <v>7.3800001144409197</v>
      </c>
      <c r="E314">
        <v>7.3800001144409197</v>
      </c>
      <c r="F314">
        <v>0</v>
      </c>
      <c r="G314">
        <v>2.9300000667571999</v>
      </c>
      <c r="H314">
        <v>1.4299999475479099</v>
      </c>
      <c r="I314">
        <v>3.0199999809265101</v>
      </c>
      <c r="J314">
        <v>0</v>
      </c>
      <c r="K314">
        <v>80</v>
      </c>
      <c r="L314">
        <v>35</v>
      </c>
      <c r="M314">
        <v>162</v>
      </c>
      <c r="N314">
        <v>721</v>
      </c>
      <c r="O314">
        <v>3378</v>
      </c>
      <c r="P314" t="str">
        <f t="shared" si="23"/>
        <v>Valid</v>
      </c>
      <c r="Q314" t="str">
        <f t="shared" si="21"/>
        <v>weekends</v>
      </c>
      <c r="R314" t="str" cm="1">
        <f t="array" ref="R314">_xlfn.IFS(
N314=MAX(K314,L314,M314,N314),"Sedentary",M314
=MAX(K314,L314,M314,N314),"Lightly Active",
L314=MAX(K314,L314,M314,N314),"Fairly Active",
K314=MAX(K314,L314,M314,N314),"Very Active"
)</f>
        <v>Sedentary</v>
      </c>
      <c r="S314" t="str">
        <f t="shared" si="22"/>
        <v>Sedentary</v>
      </c>
    </row>
    <row r="315" spans="1:19" x14ac:dyDescent="0.3">
      <c r="A315">
        <v>5577150313</v>
      </c>
      <c r="B315" s="1">
        <v>42471</v>
      </c>
      <c r="C315">
        <v>2862</v>
      </c>
      <c r="D315">
        <v>2.1400001049041699</v>
      </c>
      <c r="E315">
        <v>2.1400001049041699</v>
      </c>
      <c r="F315">
        <v>0</v>
      </c>
      <c r="G315">
        <v>1.03999996185303</v>
      </c>
      <c r="H315">
        <v>0.25</v>
      </c>
      <c r="I315">
        <v>0.83999997377395597</v>
      </c>
      <c r="J315">
        <v>0</v>
      </c>
      <c r="K315">
        <v>39</v>
      </c>
      <c r="L315">
        <v>17</v>
      </c>
      <c r="M315">
        <v>54</v>
      </c>
      <c r="N315">
        <v>209</v>
      </c>
      <c r="O315">
        <v>1511</v>
      </c>
      <c r="P315" t="str">
        <f t="shared" si="23"/>
        <v>Valid</v>
      </c>
      <c r="Q315" t="str">
        <f t="shared" si="21"/>
        <v>weekdays</v>
      </c>
      <c r="R315" t="str" cm="1">
        <f t="array" ref="R315">_xlfn.IFS(
N315=MAX(K315,L315,M315,N315),"Sedentary",M315
=MAX(K315,L315,M315,N315),"Lightly Active",
L315=MAX(K315,L315,M315,N315),"Fairly Active",
K315=MAX(K315,L315,M315,N315),"Very Active"
)</f>
        <v>Sedentary</v>
      </c>
      <c r="S315" t="str">
        <f t="shared" si="22"/>
        <v>Sedentary</v>
      </c>
    </row>
    <row r="316" spans="1:19" x14ac:dyDescent="0.3">
      <c r="A316">
        <v>6117666160</v>
      </c>
      <c r="B316" s="1">
        <v>42461</v>
      </c>
      <c r="C316">
        <v>7444</v>
      </c>
      <c r="D316">
        <v>5.6199998855590803</v>
      </c>
      <c r="E316">
        <v>5.6199998855590803</v>
      </c>
      <c r="F316">
        <v>0</v>
      </c>
      <c r="G316">
        <v>0</v>
      </c>
      <c r="H316">
        <v>0</v>
      </c>
      <c r="I316">
        <v>5.6199998855590803</v>
      </c>
      <c r="J316">
        <v>0</v>
      </c>
      <c r="K316">
        <v>0</v>
      </c>
      <c r="L316">
        <v>0</v>
      </c>
      <c r="M316">
        <v>286</v>
      </c>
      <c r="N316">
        <v>568</v>
      </c>
      <c r="O316">
        <v>2210</v>
      </c>
      <c r="P316" t="str">
        <f t="shared" si="23"/>
        <v>Valid</v>
      </c>
      <c r="Q316" t="str">
        <f t="shared" si="21"/>
        <v>weekdays</v>
      </c>
      <c r="R316" t="str" cm="1">
        <f t="array" ref="R316">_xlfn.IFS(
N316=MAX(K316,L316,M316,N316),"Sedentary",M316
=MAX(K316,L316,M316,N316),"Lightly Active",
L316=MAX(K316,L316,M316,N316),"Fairly Active",
K316=MAX(K316,L316,M316,N316),"Very Active"
)</f>
        <v>Sedentary</v>
      </c>
      <c r="S316" t="str">
        <f t="shared" si="22"/>
        <v>Active</v>
      </c>
    </row>
    <row r="317" spans="1:19" x14ac:dyDescent="0.3">
      <c r="A317">
        <v>6117666160</v>
      </c>
      <c r="B317" s="1">
        <v>42462</v>
      </c>
      <c r="C317">
        <v>19658</v>
      </c>
      <c r="D317">
        <v>14.8400001525879</v>
      </c>
      <c r="E317">
        <v>14.8400001525879</v>
      </c>
      <c r="F317">
        <v>0</v>
      </c>
      <c r="G317">
        <v>0.239999994635582</v>
      </c>
      <c r="H317">
        <v>2.0899999141693102</v>
      </c>
      <c r="I317">
        <v>12.5100002288818</v>
      </c>
      <c r="J317">
        <v>0</v>
      </c>
      <c r="K317">
        <v>3</v>
      </c>
      <c r="L317">
        <v>30</v>
      </c>
      <c r="M317">
        <v>475</v>
      </c>
      <c r="N317">
        <v>466</v>
      </c>
      <c r="O317">
        <v>2884</v>
      </c>
      <c r="P317" t="str">
        <f t="shared" si="23"/>
        <v>Valid</v>
      </c>
      <c r="Q317" t="str">
        <f t="shared" si="21"/>
        <v>weekends</v>
      </c>
      <c r="R317" t="str" cm="1">
        <f t="array" ref="R317">_xlfn.IFS(
N317=MAX(K317,L317,M317,N317),"Sedentary",M317
=MAX(K317,L317,M317,N317),"Lightly Active",
L317=MAX(K317,L317,M317,N317),"Fairly Active",
K317=MAX(K317,L317,M317,N317),"Very Active"
)</f>
        <v>Lightly Active</v>
      </c>
      <c r="S317" t="str">
        <f t="shared" si="22"/>
        <v>Sedentary</v>
      </c>
    </row>
    <row r="318" spans="1:19" x14ac:dyDescent="0.3">
      <c r="A318">
        <v>6117666160</v>
      </c>
      <c r="B318" s="1">
        <v>42463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1440</v>
      </c>
      <c r="O318">
        <v>1496</v>
      </c>
      <c r="P318" t="str">
        <f>IF(AND(C318=0,D318=0,L318&gt;0),"Invalid","Valid")</f>
        <v>Valid</v>
      </c>
      <c r="Q318" t="str">
        <f t="shared" si="21"/>
        <v>weekends</v>
      </c>
      <c r="R318" t="str" cm="1">
        <f t="array" ref="R318">_xlfn.IFS(
N318=MAX(K318,L318,M318,N318),"Sedentary",M318
=MAX(K318,L318,M318,N318),"Lightly Active",
L318=MAX(K318,L318,M318,N318),"Fairly Active",
K318=MAX(K318,L318,M318,N318),"Very Active"
)</f>
        <v>Sedentary</v>
      </c>
      <c r="S318" t="str">
        <f t="shared" si="22"/>
        <v>Sedentary</v>
      </c>
    </row>
    <row r="319" spans="1:19" x14ac:dyDescent="0.3">
      <c r="A319">
        <v>6117666160</v>
      </c>
      <c r="B319" s="1">
        <v>42464</v>
      </c>
      <c r="C319">
        <v>8468</v>
      </c>
      <c r="D319">
        <v>6.3899998664856001</v>
      </c>
      <c r="E319">
        <v>6.3899998664856001</v>
      </c>
      <c r="F319">
        <v>0</v>
      </c>
      <c r="G319">
        <v>0.18000000715255701</v>
      </c>
      <c r="H319">
        <v>0.63999998569488503</v>
      </c>
      <c r="I319">
        <v>5.5700001716613796</v>
      </c>
      <c r="J319">
        <v>0</v>
      </c>
      <c r="K319">
        <v>2</v>
      </c>
      <c r="L319">
        <v>11</v>
      </c>
      <c r="M319">
        <v>279</v>
      </c>
      <c r="N319">
        <v>1148</v>
      </c>
      <c r="O319">
        <v>2262</v>
      </c>
      <c r="P319" t="str">
        <f t="shared" ref="P319:P324" si="24">IF(AND(C319=0,D319=0,L319&gt;0),"Invalid","Valid")</f>
        <v>Valid</v>
      </c>
      <c r="Q319" t="str">
        <f t="shared" si="21"/>
        <v>weekdays</v>
      </c>
      <c r="R319" t="str" cm="1">
        <f t="array" ref="R319">_xlfn.IFS(
N319=MAX(K319,L319,M319,N319),"Sedentary",M319
=MAX(K319,L319,M319,N319),"Lightly Active",
L319=MAX(K319,L319,M319,N319),"Fairly Active",
K319=MAX(K319,L319,M319,N319),"Very Active"
)</f>
        <v>Sedentary</v>
      </c>
      <c r="S319" t="str">
        <f t="shared" si="22"/>
        <v>Sedentary</v>
      </c>
    </row>
    <row r="320" spans="1:19" x14ac:dyDescent="0.3">
      <c r="A320">
        <v>6117666160</v>
      </c>
      <c r="B320" s="1">
        <v>42465</v>
      </c>
      <c r="C320">
        <v>9910</v>
      </c>
      <c r="D320">
        <v>7.4800000190734899</v>
      </c>
      <c r="E320">
        <v>7.4800000190734899</v>
      </c>
      <c r="F320">
        <v>0</v>
      </c>
      <c r="G320">
        <v>0</v>
      </c>
      <c r="H320">
        <v>0</v>
      </c>
      <c r="I320">
        <v>7.4800000190734899</v>
      </c>
      <c r="J320">
        <v>0</v>
      </c>
      <c r="K320">
        <v>0</v>
      </c>
      <c r="L320">
        <v>0</v>
      </c>
      <c r="M320">
        <v>384</v>
      </c>
      <c r="N320">
        <v>990</v>
      </c>
      <c r="O320">
        <v>2445</v>
      </c>
      <c r="P320" t="str">
        <f t="shared" si="24"/>
        <v>Valid</v>
      </c>
      <c r="Q320" t="str">
        <f t="shared" si="21"/>
        <v>weekdays</v>
      </c>
      <c r="R320" t="str" cm="1">
        <f t="array" ref="R320">_xlfn.IFS(
N320=MAX(K320,L320,M320,N320),"Sedentary",M320
=MAX(K320,L320,M320,N320),"Lightly Active",
L320=MAX(K320,L320,M320,N320),"Fairly Active",
K320=MAX(K320,L320,M320,N320),"Very Active"
)</f>
        <v>Sedentary</v>
      </c>
      <c r="S320" t="str">
        <f t="shared" si="22"/>
        <v>Active</v>
      </c>
    </row>
    <row r="321" spans="1:19" x14ac:dyDescent="0.3">
      <c r="A321">
        <v>6117666160</v>
      </c>
      <c r="B321" s="1">
        <v>42466</v>
      </c>
      <c r="C321">
        <v>12409</v>
      </c>
      <c r="D321">
        <v>9.3699998855590803</v>
      </c>
      <c r="E321">
        <v>9.3699998855590803</v>
      </c>
      <c r="F321">
        <v>0</v>
      </c>
      <c r="G321">
        <v>0</v>
      </c>
      <c r="H321">
        <v>0</v>
      </c>
      <c r="I321">
        <v>9.3699998855590803</v>
      </c>
      <c r="J321">
        <v>0</v>
      </c>
      <c r="K321">
        <v>0</v>
      </c>
      <c r="L321">
        <v>0</v>
      </c>
      <c r="M321">
        <v>491</v>
      </c>
      <c r="N321">
        <v>388</v>
      </c>
      <c r="O321">
        <v>2694</v>
      </c>
      <c r="P321" t="str">
        <f t="shared" si="24"/>
        <v>Valid</v>
      </c>
      <c r="Q321" t="str">
        <f t="shared" si="21"/>
        <v>weekdays</v>
      </c>
      <c r="R321" t="str" cm="1">
        <f t="array" ref="R321">_xlfn.IFS(
N321=MAX(K321,L321,M321,N321),"Sedentary",M321
=MAX(K321,L321,M321,N321),"Lightly Active",
L321=MAX(K321,L321,M321,N321),"Fairly Active",
K321=MAX(K321,L321,M321,N321),"Very Active"
)</f>
        <v>Lightly Active</v>
      </c>
      <c r="S321" t="str">
        <f t="shared" si="22"/>
        <v>Sedentary</v>
      </c>
    </row>
    <row r="322" spans="1:19" x14ac:dyDescent="0.3">
      <c r="A322">
        <v>6117666160</v>
      </c>
      <c r="B322" s="1">
        <v>42467</v>
      </c>
      <c r="C322">
        <v>4853</v>
      </c>
      <c r="D322">
        <v>3.6600000858306898</v>
      </c>
      <c r="E322">
        <v>3.6600000858306898</v>
      </c>
      <c r="F322">
        <v>0</v>
      </c>
      <c r="G322">
        <v>0</v>
      </c>
      <c r="H322">
        <v>0</v>
      </c>
      <c r="I322">
        <v>3.6600000858306898</v>
      </c>
      <c r="J322">
        <v>0</v>
      </c>
      <c r="K322">
        <v>0</v>
      </c>
      <c r="L322">
        <v>0</v>
      </c>
      <c r="M322">
        <v>156</v>
      </c>
      <c r="N322">
        <v>770</v>
      </c>
      <c r="O322">
        <v>1903</v>
      </c>
      <c r="P322" t="str">
        <f t="shared" si="24"/>
        <v>Valid</v>
      </c>
      <c r="Q322" t="str">
        <f t="shared" si="21"/>
        <v>weekdays</v>
      </c>
      <c r="R322" t="str" cm="1">
        <f t="array" ref="R322">_xlfn.IFS(
N322=MAX(K322,L322,M322,N322),"Sedentary",M322
=MAX(K322,L322,M322,N322),"Lightly Active",
L322=MAX(K322,L322,M322,N322),"Fairly Active",
K322=MAX(K322,L322,M322,N322),"Very Active"
)</f>
        <v>Sedentary</v>
      </c>
      <c r="S322" t="str">
        <f t="shared" si="22"/>
        <v>Sedentary</v>
      </c>
    </row>
    <row r="323" spans="1:19" x14ac:dyDescent="0.3">
      <c r="A323">
        <v>6117666160</v>
      </c>
      <c r="B323" s="1">
        <v>42468</v>
      </c>
      <c r="C323">
        <v>8955</v>
      </c>
      <c r="D323">
        <v>6.7600002288818404</v>
      </c>
      <c r="E323">
        <v>6.7600002288818404</v>
      </c>
      <c r="F323">
        <v>0</v>
      </c>
      <c r="G323">
        <v>0</v>
      </c>
      <c r="H323">
        <v>0</v>
      </c>
      <c r="I323">
        <v>6.7300000190734899</v>
      </c>
      <c r="J323">
        <v>0</v>
      </c>
      <c r="K323">
        <v>0</v>
      </c>
      <c r="L323">
        <v>0</v>
      </c>
      <c r="M323">
        <v>422</v>
      </c>
      <c r="N323">
        <v>1018</v>
      </c>
      <c r="O323">
        <v>2482</v>
      </c>
      <c r="P323" t="str">
        <f t="shared" si="24"/>
        <v>Valid</v>
      </c>
      <c r="Q323" t="str">
        <f t="shared" ref="Q323:Q386" si="25">IF(WEEKDAY(B323,2)&gt;5,"weekends","weekdays")</f>
        <v>weekdays</v>
      </c>
      <c r="R323" t="str" cm="1">
        <f t="array" ref="R323">_xlfn.IFS(
N323=MAX(K323,L323,M323,N323),"Sedentary",M323
=MAX(K323,L323,M323,N323),"Lightly Active",
L323=MAX(K323,L323,M323,N323),"Fairly Active",
K323=MAX(K323,L323,M323,N323),"Very Active"
)</f>
        <v>Sedentary</v>
      </c>
      <c r="S323" t="str">
        <f t="shared" ref="S323:S386" si="26">IF(N324&gt;(K324+L324+M324),"Sedentary","Active")</f>
        <v>Active</v>
      </c>
    </row>
    <row r="324" spans="1:19" x14ac:dyDescent="0.3">
      <c r="A324">
        <v>6117666160</v>
      </c>
      <c r="B324" s="1">
        <v>42469</v>
      </c>
      <c r="C324">
        <v>10789</v>
      </c>
      <c r="D324">
        <v>8.1499996185302699</v>
      </c>
      <c r="E324">
        <v>8.1499996185302699</v>
      </c>
      <c r="F324">
        <v>0</v>
      </c>
      <c r="G324">
        <v>0</v>
      </c>
      <c r="H324">
        <v>0</v>
      </c>
      <c r="I324">
        <v>8.1499996185302699</v>
      </c>
      <c r="J324">
        <v>0</v>
      </c>
      <c r="K324">
        <v>0</v>
      </c>
      <c r="L324">
        <v>0</v>
      </c>
      <c r="M324">
        <v>506</v>
      </c>
      <c r="N324">
        <v>413</v>
      </c>
      <c r="O324">
        <v>2617</v>
      </c>
      <c r="P324" t="str">
        <f t="shared" si="24"/>
        <v>Valid</v>
      </c>
      <c r="Q324" t="str">
        <f t="shared" si="25"/>
        <v>weekends</v>
      </c>
      <c r="R324" t="str" cm="1">
        <f t="array" ref="R324">_xlfn.IFS(
N324=MAX(K324,L324,M324,N324),"Sedentary",M324
=MAX(K324,L324,M324,N324),"Lightly Active",
L324=MAX(K324,L324,M324,N324),"Fairly Active",
K324=MAX(K324,L324,M324,N324),"Very Active"
)</f>
        <v>Lightly Active</v>
      </c>
      <c r="S324" t="str">
        <f t="shared" si="26"/>
        <v>Sedentary</v>
      </c>
    </row>
    <row r="325" spans="1:19" x14ac:dyDescent="0.3">
      <c r="A325">
        <v>6117666160</v>
      </c>
      <c r="B325" s="1">
        <v>42470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1440</v>
      </c>
      <c r="O325">
        <v>0</v>
      </c>
      <c r="P325" t="str">
        <f>IF(AND(C325=0,D325=0,L325&gt;0),"Invalid","Valid")</f>
        <v>Valid</v>
      </c>
      <c r="Q325" t="str">
        <f t="shared" si="25"/>
        <v>weekends</v>
      </c>
      <c r="R325" t="str" cm="1">
        <f t="array" ref="R325">_xlfn.IFS(
N325=MAX(K325,L325,M325,N325),"Sedentary",M325
=MAX(K325,L325,M325,N325),"Lightly Active",
L325=MAX(K325,L325,M325,N325),"Fairly Active",
K325=MAX(K325,L325,M325,N325),"Very Active"
)</f>
        <v>Sedentary</v>
      </c>
      <c r="S325" t="str">
        <f t="shared" si="26"/>
        <v>Sedentary</v>
      </c>
    </row>
    <row r="326" spans="1:19" x14ac:dyDescent="0.3">
      <c r="A326">
        <v>6290855005</v>
      </c>
      <c r="B326" s="1">
        <v>42461</v>
      </c>
      <c r="C326">
        <v>6633</v>
      </c>
      <c r="D326">
        <v>5.0100002288818404</v>
      </c>
      <c r="E326">
        <v>5.0100002288818404</v>
      </c>
      <c r="F326">
        <v>0</v>
      </c>
      <c r="G326">
        <v>0</v>
      </c>
      <c r="H326">
        <v>0</v>
      </c>
      <c r="I326">
        <v>5.0100002288818404</v>
      </c>
      <c r="J326">
        <v>0</v>
      </c>
      <c r="K326">
        <v>0</v>
      </c>
      <c r="L326">
        <v>0</v>
      </c>
      <c r="M326">
        <v>280</v>
      </c>
      <c r="N326">
        <v>1160</v>
      </c>
      <c r="O326">
        <v>2778</v>
      </c>
      <c r="P326" t="str">
        <f t="shared" ref="P326:P327" si="27">IF(AND(C326=0,D326=0,L326&gt;0),"Invalid","Valid")</f>
        <v>Valid</v>
      </c>
      <c r="Q326" t="str">
        <f t="shared" si="25"/>
        <v>weekdays</v>
      </c>
      <c r="R326" t="str" cm="1">
        <f t="array" ref="R326">_xlfn.IFS(
N326=MAX(K326,L326,M326,N326),"Sedentary",M326
=MAX(K326,L326,M326,N326),"Lightly Active",
L326=MAX(K326,L326,M326,N326),"Fairly Active",
K326=MAX(K326,L326,M326,N326),"Very Active"
)</f>
        <v>Sedentary</v>
      </c>
      <c r="S326" t="str">
        <f t="shared" si="26"/>
        <v>Sedentary</v>
      </c>
    </row>
    <row r="327" spans="1:19" x14ac:dyDescent="0.3">
      <c r="A327">
        <v>6290855005</v>
      </c>
      <c r="B327" s="1">
        <v>42462</v>
      </c>
      <c r="C327">
        <v>9548</v>
      </c>
      <c r="D327">
        <v>7.2199997901916504</v>
      </c>
      <c r="E327">
        <v>7.2199997901916504</v>
      </c>
      <c r="F327">
        <v>0</v>
      </c>
      <c r="G327">
        <v>2.0199999809265101</v>
      </c>
      <c r="H327">
        <v>3.6800000667571999</v>
      </c>
      <c r="I327">
        <v>1.5199999809265099</v>
      </c>
      <c r="J327">
        <v>0</v>
      </c>
      <c r="K327">
        <v>25</v>
      </c>
      <c r="L327">
        <v>107</v>
      </c>
      <c r="M327">
        <v>113</v>
      </c>
      <c r="N327">
        <v>1195</v>
      </c>
      <c r="O327">
        <v>3119</v>
      </c>
      <c r="P327" t="str">
        <f t="shared" si="27"/>
        <v>Valid</v>
      </c>
      <c r="Q327" t="str">
        <f t="shared" si="25"/>
        <v>weekends</v>
      </c>
      <c r="R327" t="str" cm="1">
        <f t="array" ref="R327">_xlfn.IFS(
N327=MAX(K327,L327,M327,N327),"Sedentary",M327
=MAX(K327,L327,M327,N327),"Lightly Active",
L327=MAX(K327,L327,M327,N327),"Fairly Active",
K327=MAX(K327,L327,M327,N327),"Very Active"
)</f>
        <v>Sedentary</v>
      </c>
      <c r="S327" t="str">
        <f t="shared" si="26"/>
        <v>Sedentary</v>
      </c>
    </row>
    <row r="328" spans="1:19" x14ac:dyDescent="0.3">
      <c r="A328">
        <v>6290855005</v>
      </c>
      <c r="B328" s="1">
        <v>42463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33</v>
      </c>
      <c r="L328">
        <v>0</v>
      </c>
      <c r="M328">
        <v>0</v>
      </c>
      <c r="N328">
        <v>1407</v>
      </c>
      <c r="O328">
        <v>2664</v>
      </c>
      <c r="P328" t="str">
        <f t="shared" ref="P328:P337" si="28">IF(AND(C328=0,D328=0,L328&gt;0),"Invalid","Valid")</f>
        <v>Valid</v>
      </c>
      <c r="Q328" t="str">
        <f t="shared" si="25"/>
        <v>weekends</v>
      </c>
      <c r="R328" t="str" cm="1">
        <f t="array" ref="R328">_xlfn.IFS(
N328=MAX(K328,L328,M328,N328),"Sedentary",M328
=MAX(K328,L328,M328,N328),"Lightly Active",
L328=MAX(K328,L328,M328,N328),"Fairly Active",
K328=MAX(K328,L328,M328,N328),"Very Active"
)</f>
        <v>Sedentary</v>
      </c>
      <c r="S328" t="str">
        <f t="shared" si="26"/>
        <v>Sedentary</v>
      </c>
    </row>
    <row r="329" spans="1:19" x14ac:dyDescent="0.3">
      <c r="A329">
        <v>6290855005</v>
      </c>
      <c r="B329" s="1">
        <v>42464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1440</v>
      </c>
      <c r="O329">
        <v>2060</v>
      </c>
      <c r="P329" t="str">
        <f t="shared" si="28"/>
        <v>Valid</v>
      </c>
      <c r="Q329" t="str">
        <f t="shared" si="25"/>
        <v>weekdays</v>
      </c>
      <c r="R329" t="str" cm="1">
        <f t="array" ref="R329">_xlfn.IFS(
N329=MAX(K329,L329,M329,N329),"Sedentary",M329
=MAX(K329,L329,M329,N329),"Lightly Active",
L329=MAX(K329,L329,M329,N329),"Fairly Active",
K329=MAX(K329,L329,M329,N329),"Very Active"
)</f>
        <v>Sedentary</v>
      </c>
      <c r="S329" t="str">
        <f t="shared" si="26"/>
        <v>Sedentary</v>
      </c>
    </row>
    <row r="330" spans="1:19" x14ac:dyDescent="0.3">
      <c r="A330">
        <v>6290855005</v>
      </c>
      <c r="B330" s="1">
        <v>42465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1440</v>
      </c>
      <c r="O330">
        <v>2060</v>
      </c>
      <c r="P330" t="str">
        <f t="shared" si="28"/>
        <v>Valid</v>
      </c>
      <c r="Q330" t="str">
        <f t="shared" si="25"/>
        <v>weekdays</v>
      </c>
      <c r="R330" t="str" cm="1">
        <f t="array" ref="R330">_xlfn.IFS(
N330=MAX(K330,L330,M330,N330),"Sedentary",M330
=MAX(K330,L330,M330,N330),"Lightly Active",
L330=MAX(K330,L330,M330,N330),"Fairly Active",
K330=MAX(K330,L330,M330,N330),"Very Active"
)</f>
        <v>Sedentary</v>
      </c>
      <c r="S330" t="str">
        <f t="shared" si="26"/>
        <v>Sedentary</v>
      </c>
    </row>
    <row r="331" spans="1:19" x14ac:dyDescent="0.3">
      <c r="A331">
        <v>6290855005</v>
      </c>
      <c r="B331" s="1">
        <v>42466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1440</v>
      </c>
      <c r="O331">
        <v>2060</v>
      </c>
      <c r="P331" t="str">
        <f t="shared" si="28"/>
        <v>Valid</v>
      </c>
      <c r="Q331" t="str">
        <f t="shared" si="25"/>
        <v>weekdays</v>
      </c>
      <c r="R331" t="str" cm="1">
        <f t="array" ref="R331">_xlfn.IFS(
N331=MAX(K331,L331,M331,N331),"Sedentary",M331
=MAX(K331,L331,M331,N331),"Lightly Active",
L331=MAX(K331,L331,M331,N331),"Fairly Active",
K331=MAX(K331,L331,M331,N331),"Very Active"
)</f>
        <v>Sedentary</v>
      </c>
      <c r="S331" t="str">
        <f t="shared" si="26"/>
        <v>Sedentary</v>
      </c>
    </row>
    <row r="332" spans="1:19" x14ac:dyDescent="0.3">
      <c r="A332">
        <v>6290855005</v>
      </c>
      <c r="B332" s="1">
        <v>42467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1440</v>
      </c>
      <c r="O332">
        <v>2060</v>
      </c>
      <c r="P332" t="str">
        <f t="shared" si="28"/>
        <v>Valid</v>
      </c>
      <c r="Q332" t="str">
        <f t="shared" si="25"/>
        <v>weekdays</v>
      </c>
      <c r="R332" t="str" cm="1">
        <f t="array" ref="R332">_xlfn.IFS(
N332=MAX(K332,L332,M332,N332),"Sedentary",M332
=MAX(K332,L332,M332,N332),"Lightly Active",
L332=MAX(K332,L332,M332,N332),"Fairly Active",
K332=MAX(K332,L332,M332,N332),"Very Active"
)</f>
        <v>Sedentary</v>
      </c>
      <c r="S332" t="str">
        <f t="shared" si="26"/>
        <v>Sedentary</v>
      </c>
    </row>
    <row r="333" spans="1:19" x14ac:dyDescent="0.3">
      <c r="A333">
        <v>6290855005</v>
      </c>
      <c r="B333" s="1">
        <v>42468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1440</v>
      </c>
      <c r="O333">
        <v>2060</v>
      </c>
      <c r="P333" t="str">
        <f t="shared" si="28"/>
        <v>Valid</v>
      </c>
      <c r="Q333" t="str">
        <f t="shared" si="25"/>
        <v>weekdays</v>
      </c>
      <c r="R333" t="str" cm="1">
        <f t="array" ref="R333">_xlfn.IFS(
N333=MAX(K333,L333,M333,N333),"Sedentary",M333
=MAX(K333,L333,M333,N333),"Lightly Active",
L333=MAX(K333,L333,M333,N333),"Fairly Active",
K333=MAX(K333,L333,M333,N333),"Very Active"
)</f>
        <v>Sedentary</v>
      </c>
      <c r="S333" t="str">
        <f t="shared" si="26"/>
        <v>Sedentary</v>
      </c>
    </row>
    <row r="334" spans="1:19" x14ac:dyDescent="0.3">
      <c r="A334">
        <v>6290855005</v>
      </c>
      <c r="B334" s="1">
        <v>42469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1440</v>
      </c>
      <c r="O334">
        <v>2060</v>
      </c>
      <c r="P334" t="str">
        <f t="shared" si="28"/>
        <v>Valid</v>
      </c>
      <c r="Q334" t="str">
        <f t="shared" si="25"/>
        <v>weekends</v>
      </c>
      <c r="R334" t="str" cm="1">
        <f t="array" ref="R334">_xlfn.IFS(
N334=MAX(K334,L334,M334,N334),"Sedentary",M334
=MAX(K334,L334,M334,N334),"Lightly Active",
L334=MAX(K334,L334,M334,N334),"Fairly Active",
K334=MAX(K334,L334,M334,N334),"Very Active"
)</f>
        <v>Sedentary</v>
      </c>
      <c r="S334" t="str">
        <f t="shared" si="26"/>
        <v>Sedentary</v>
      </c>
    </row>
    <row r="335" spans="1:19" x14ac:dyDescent="0.3">
      <c r="A335">
        <v>6290855005</v>
      </c>
      <c r="B335" s="1">
        <v>42470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</v>
      </c>
      <c r="L335">
        <v>0</v>
      </c>
      <c r="M335">
        <v>0</v>
      </c>
      <c r="N335">
        <v>494</v>
      </c>
      <c r="O335">
        <v>735</v>
      </c>
      <c r="P335" t="str">
        <f t="shared" si="28"/>
        <v>Valid</v>
      </c>
      <c r="Q335" t="str">
        <f t="shared" si="25"/>
        <v>weekends</v>
      </c>
      <c r="R335" t="str" cm="1">
        <f t="array" ref="R335">_xlfn.IFS(
N335=MAX(K335,L335,M335,N335),"Sedentary",M335
=MAX(K335,L335,M335,N335),"Lightly Active",
L335=MAX(K335,L335,M335,N335),"Fairly Active",
K335=MAX(K335,L335,M335,N335),"Very Active"
)</f>
        <v>Sedentary</v>
      </c>
      <c r="S335" t="str">
        <f t="shared" si="26"/>
        <v>Sedentary</v>
      </c>
    </row>
    <row r="336" spans="1:19" x14ac:dyDescent="0.3">
      <c r="A336">
        <v>6391747486</v>
      </c>
      <c r="B336" s="1">
        <v>42461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1440</v>
      </c>
      <c r="O336">
        <v>1820</v>
      </c>
      <c r="P336" t="str">
        <f t="shared" si="28"/>
        <v>Valid</v>
      </c>
      <c r="Q336" t="str">
        <f t="shared" si="25"/>
        <v>weekdays</v>
      </c>
      <c r="R336" t="str" cm="1">
        <f t="array" ref="R336">_xlfn.IFS(
N336=MAX(K336,L336,M336,N336),"Sedentary",M336
=MAX(K336,L336,M336,N336),"Lightly Active",
L336=MAX(K336,L336,M336,N336),"Fairly Active",
K336=MAX(K336,L336,M336,N336),"Very Active"
)</f>
        <v>Sedentary</v>
      </c>
      <c r="S336" t="str">
        <f t="shared" si="26"/>
        <v>Sedentary</v>
      </c>
    </row>
    <row r="337" spans="1:19" x14ac:dyDescent="0.3">
      <c r="A337">
        <v>6391747486</v>
      </c>
      <c r="B337" s="1">
        <v>42462</v>
      </c>
      <c r="C337">
        <v>2101</v>
      </c>
      <c r="D337">
        <v>2.0299999713897701</v>
      </c>
      <c r="E337">
        <v>0</v>
      </c>
      <c r="F337">
        <v>2.0277729034423801</v>
      </c>
      <c r="G337">
        <v>2.0299999713897701</v>
      </c>
      <c r="H337">
        <v>0</v>
      </c>
      <c r="I337">
        <v>0</v>
      </c>
      <c r="J337">
        <v>0</v>
      </c>
      <c r="K337">
        <v>46</v>
      </c>
      <c r="L337">
        <v>0</v>
      </c>
      <c r="M337">
        <v>0</v>
      </c>
      <c r="N337">
        <v>1394</v>
      </c>
      <c r="O337">
        <v>2224</v>
      </c>
      <c r="P337" t="str">
        <f t="shared" si="28"/>
        <v>Valid</v>
      </c>
      <c r="Q337" t="str">
        <f t="shared" si="25"/>
        <v>weekends</v>
      </c>
      <c r="R337" t="str" cm="1">
        <f t="array" ref="R337">_xlfn.IFS(
N337=MAX(K337,L337,M337,N337),"Sedentary",M337
=MAX(K337,L337,M337,N337),"Lightly Active",
L337=MAX(K337,L337,M337,N337),"Fairly Active",
K337=MAX(K337,L337,M337,N337),"Very Active"
)</f>
        <v>Sedentary</v>
      </c>
      <c r="S337" t="str">
        <f t="shared" si="26"/>
        <v>Sedentary</v>
      </c>
    </row>
    <row r="338" spans="1:19" x14ac:dyDescent="0.3">
      <c r="A338">
        <v>6391747486</v>
      </c>
      <c r="B338" s="1">
        <v>42463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1440</v>
      </c>
      <c r="O338">
        <v>1820</v>
      </c>
      <c r="P338" t="str">
        <f t="shared" ref="P338:P341" si="29">IF(AND(C338=0,D338=0,L338&gt;0),"Invalid","Valid")</f>
        <v>Valid</v>
      </c>
      <c r="Q338" t="str">
        <f t="shared" si="25"/>
        <v>weekends</v>
      </c>
      <c r="R338" t="str" cm="1">
        <f t="array" ref="R338">_xlfn.IFS(
N338=MAX(K338,L338,M338,N338),"Sedentary",M338
=MAX(K338,L338,M338,N338),"Lightly Active",
L338=MAX(K338,L338,M338,N338),"Fairly Active",
K338=MAX(K338,L338,M338,N338),"Very Active"
)</f>
        <v>Sedentary</v>
      </c>
      <c r="S338" t="str">
        <f t="shared" si="26"/>
        <v>Sedentary</v>
      </c>
    </row>
    <row r="339" spans="1:19" x14ac:dyDescent="0.3">
      <c r="A339">
        <v>6391747486</v>
      </c>
      <c r="B339" s="1">
        <v>42464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1440</v>
      </c>
      <c r="O339">
        <v>1820</v>
      </c>
      <c r="P339" t="str">
        <f t="shared" si="29"/>
        <v>Valid</v>
      </c>
      <c r="Q339" t="str">
        <f t="shared" si="25"/>
        <v>weekdays</v>
      </c>
      <c r="R339" t="str" cm="1">
        <f t="array" ref="R339">_xlfn.IFS(
N339=MAX(K339,L339,M339,N339),"Sedentary",M339
=MAX(K339,L339,M339,N339),"Lightly Active",
L339=MAX(K339,L339,M339,N339),"Fairly Active",
K339=MAX(K339,L339,M339,N339),"Very Active"
)</f>
        <v>Sedentary</v>
      </c>
      <c r="S339" t="str">
        <f t="shared" si="26"/>
        <v>Sedentary</v>
      </c>
    </row>
    <row r="340" spans="1:19" x14ac:dyDescent="0.3">
      <c r="A340">
        <v>6391747486</v>
      </c>
      <c r="B340" s="1">
        <v>42465</v>
      </c>
      <c r="C340">
        <v>9766</v>
      </c>
      <c r="D340">
        <v>7.5100002288818404</v>
      </c>
      <c r="E340">
        <v>0.77999997138977095</v>
      </c>
      <c r="F340">
        <v>6.7270569801330602</v>
      </c>
      <c r="G340">
        <v>0</v>
      </c>
      <c r="H340">
        <v>5.0000000745058101E-2</v>
      </c>
      <c r="I340">
        <v>7.46000003814697</v>
      </c>
      <c r="J340">
        <v>0</v>
      </c>
      <c r="K340">
        <v>0</v>
      </c>
      <c r="L340">
        <v>6</v>
      </c>
      <c r="M340">
        <v>301</v>
      </c>
      <c r="N340">
        <v>1133</v>
      </c>
      <c r="O340">
        <v>2442</v>
      </c>
      <c r="P340" t="str">
        <f t="shared" si="29"/>
        <v>Valid</v>
      </c>
      <c r="Q340" t="str">
        <f t="shared" si="25"/>
        <v>weekdays</v>
      </c>
      <c r="R340" t="str" cm="1">
        <f t="array" ref="R340">_xlfn.IFS(
N340=MAX(K340,L340,M340,N340),"Sedentary",M340
=MAX(K340,L340,M340,N340),"Lightly Active",
L340=MAX(K340,L340,M340,N340),"Fairly Active",
K340=MAX(K340,L340,M340,N340),"Very Active"
)</f>
        <v>Sedentary</v>
      </c>
      <c r="S340" t="str">
        <f t="shared" si="26"/>
        <v>Sedentary</v>
      </c>
    </row>
    <row r="341" spans="1:19" x14ac:dyDescent="0.3">
      <c r="A341">
        <v>6391747486</v>
      </c>
      <c r="B341" s="1">
        <v>42466</v>
      </c>
      <c r="C341">
        <v>165</v>
      </c>
      <c r="D341">
        <v>0.129999995231628</v>
      </c>
      <c r="E341">
        <v>0.129999995231628</v>
      </c>
      <c r="F341">
        <v>0</v>
      </c>
      <c r="G341">
        <v>0</v>
      </c>
      <c r="H341">
        <v>0</v>
      </c>
      <c r="I341">
        <v>0.129999995231628</v>
      </c>
      <c r="J341">
        <v>0</v>
      </c>
      <c r="K341">
        <v>0</v>
      </c>
      <c r="L341">
        <v>0</v>
      </c>
      <c r="M341">
        <v>8</v>
      </c>
      <c r="N341">
        <v>1432</v>
      </c>
      <c r="O341">
        <v>1849</v>
      </c>
      <c r="P341" t="str">
        <f t="shared" si="29"/>
        <v>Valid</v>
      </c>
      <c r="Q341" t="str">
        <f t="shared" si="25"/>
        <v>weekdays</v>
      </c>
      <c r="R341" t="str" cm="1">
        <f t="array" ref="R341">_xlfn.IFS(
N341=MAX(K341,L341,M341,N341),"Sedentary",M341
=MAX(K341,L341,M341,N341),"Lightly Active",
L341=MAX(K341,L341,M341,N341),"Fairly Active",
K341=MAX(K341,L341,M341,N341),"Very Active"
)</f>
        <v>Sedentary</v>
      </c>
      <c r="S341" t="str">
        <f t="shared" si="26"/>
        <v>Sedentary</v>
      </c>
    </row>
    <row r="342" spans="1:19" x14ac:dyDescent="0.3">
      <c r="A342">
        <v>6391747486</v>
      </c>
      <c r="B342" s="1">
        <v>42467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1440</v>
      </c>
      <c r="O342">
        <v>1822</v>
      </c>
      <c r="P342" t="str">
        <f t="shared" ref="P342:P347" si="30">IF(AND(C342=0,D342=0,L342&gt;0),"Invalid","Valid")</f>
        <v>Valid</v>
      </c>
      <c r="Q342" t="str">
        <f t="shared" si="25"/>
        <v>weekdays</v>
      </c>
      <c r="R342" t="str" cm="1">
        <f t="array" ref="R342">_xlfn.IFS(
N342=MAX(K342,L342,M342,N342),"Sedentary",M342
=MAX(K342,L342,M342,N342),"Lightly Active",
L342=MAX(K342,L342,M342,N342),"Fairly Active",
K342=MAX(K342,L342,M342,N342),"Very Active"
)</f>
        <v>Sedentary</v>
      </c>
      <c r="S342" t="str">
        <f t="shared" si="26"/>
        <v>Sedentary</v>
      </c>
    </row>
    <row r="343" spans="1:19" x14ac:dyDescent="0.3">
      <c r="A343">
        <v>6391747486</v>
      </c>
      <c r="B343" s="1">
        <v>42468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1440</v>
      </c>
      <c r="O343">
        <v>1820</v>
      </c>
      <c r="P343" t="str">
        <f t="shared" si="30"/>
        <v>Valid</v>
      </c>
      <c r="Q343" t="str">
        <f t="shared" si="25"/>
        <v>weekdays</v>
      </c>
      <c r="R343" t="str" cm="1">
        <f t="array" ref="R343">_xlfn.IFS(
N343=MAX(K343,L343,M343,N343),"Sedentary",M343
=MAX(K343,L343,M343,N343),"Lightly Active",
L343=MAX(K343,L343,M343,N343),"Fairly Active",
K343=MAX(K343,L343,M343,N343),"Very Active"
)</f>
        <v>Sedentary</v>
      </c>
      <c r="S343" t="str">
        <f t="shared" si="26"/>
        <v>Sedentary</v>
      </c>
    </row>
    <row r="344" spans="1:19" x14ac:dyDescent="0.3">
      <c r="A344">
        <v>6391747486</v>
      </c>
      <c r="B344" s="1">
        <v>42469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198</v>
      </c>
      <c r="O344">
        <v>251</v>
      </c>
      <c r="P344" t="str">
        <f t="shared" si="30"/>
        <v>Valid</v>
      </c>
      <c r="Q344" t="str">
        <f t="shared" si="25"/>
        <v>weekends</v>
      </c>
      <c r="R344" t="str" cm="1">
        <f t="array" ref="R344">_xlfn.IFS(
N344=MAX(K344,L344,M344,N344),"Sedentary",M344
=MAX(K344,L344,M344,N344),"Lightly Active",
L344=MAX(K344,L344,M344,N344),"Fairly Active",
K344=MAX(K344,L344,M344,N344),"Very Active"
)</f>
        <v>Sedentary</v>
      </c>
      <c r="S344" t="str">
        <f t="shared" si="26"/>
        <v>Sedentary</v>
      </c>
    </row>
    <row r="345" spans="1:19" x14ac:dyDescent="0.3">
      <c r="A345">
        <v>6775888955</v>
      </c>
      <c r="B345" s="1">
        <v>42461</v>
      </c>
      <c r="C345">
        <v>7225</v>
      </c>
      <c r="D345">
        <v>5.1799998283386204</v>
      </c>
      <c r="E345">
        <v>5.1799998283386204</v>
      </c>
      <c r="F345">
        <v>0</v>
      </c>
      <c r="G345">
        <v>1.7300000190734901</v>
      </c>
      <c r="H345">
        <v>1.2699999809265099</v>
      </c>
      <c r="I345">
        <v>2.1800000667571999</v>
      </c>
      <c r="J345">
        <v>0</v>
      </c>
      <c r="K345">
        <v>25</v>
      </c>
      <c r="L345">
        <v>50</v>
      </c>
      <c r="M345">
        <v>163</v>
      </c>
      <c r="N345">
        <v>1189</v>
      </c>
      <c r="O345">
        <v>3065</v>
      </c>
      <c r="P345" t="str">
        <f t="shared" si="30"/>
        <v>Valid</v>
      </c>
      <c r="Q345" t="str">
        <f t="shared" si="25"/>
        <v>weekdays</v>
      </c>
      <c r="R345" t="str" cm="1">
        <f t="array" ref="R345">_xlfn.IFS(
N345=MAX(K345,L345,M345,N345),"Sedentary",M345
=MAX(K345,L345,M345,N345),"Lightly Active",
L345=MAX(K345,L345,M345,N345),"Fairly Active",
K345=MAX(K345,L345,M345,N345),"Very Active"
)</f>
        <v>Sedentary</v>
      </c>
      <c r="S345" t="str">
        <f t="shared" si="26"/>
        <v>Sedentary</v>
      </c>
    </row>
    <row r="346" spans="1:19" x14ac:dyDescent="0.3">
      <c r="A346">
        <v>6775888955</v>
      </c>
      <c r="B346" s="1">
        <v>42462</v>
      </c>
      <c r="C346">
        <v>1988</v>
      </c>
      <c r="D346">
        <v>1.4299999475479099</v>
      </c>
      <c r="E346">
        <v>1.4299999475479099</v>
      </c>
      <c r="F346">
        <v>0</v>
      </c>
      <c r="G346">
        <v>0</v>
      </c>
      <c r="H346">
        <v>0</v>
      </c>
      <c r="I346">
        <v>1.4299999475479099</v>
      </c>
      <c r="J346">
        <v>0</v>
      </c>
      <c r="K346">
        <v>0</v>
      </c>
      <c r="L346">
        <v>0</v>
      </c>
      <c r="M346">
        <v>79</v>
      </c>
      <c r="N346">
        <v>909</v>
      </c>
      <c r="O346">
        <v>2207</v>
      </c>
      <c r="P346" t="str">
        <f t="shared" si="30"/>
        <v>Valid</v>
      </c>
      <c r="Q346" t="str">
        <f t="shared" si="25"/>
        <v>weekends</v>
      </c>
      <c r="R346" t="str" cm="1">
        <f t="array" ref="R346">_xlfn.IFS(
N346=MAX(K346,L346,M346,N346),"Sedentary",M346
=MAX(K346,L346,M346,N346),"Lightly Active",
L346=MAX(K346,L346,M346,N346),"Fairly Active",
K346=MAX(K346,L346,M346,N346),"Very Active"
)</f>
        <v>Sedentary</v>
      </c>
      <c r="S346" t="str">
        <f t="shared" si="26"/>
        <v>Sedentary</v>
      </c>
    </row>
    <row r="347" spans="1:19" x14ac:dyDescent="0.3">
      <c r="A347">
        <v>6775888955</v>
      </c>
      <c r="B347" s="1">
        <v>42463</v>
      </c>
      <c r="C347">
        <v>1577</v>
      </c>
      <c r="D347">
        <v>1.12999999523163</v>
      </c>
      <c r="E347">
        <v>1.12999999523163</v>
      </c>
      <c r="F347">
        <v>0</v>
      </c>
      <c r="G347">
        <v>7.0000000298023196E-2</v>
      </c>
      <c r="H347">
        <v>0.88999998569488503</v>
      </c>
      <c r="I347">
        <v>0.17000000178813901</v>
      </c>
      <c r="J347">
        <v>0</v>
      </c>
      <c r="K347">
        <v>1</v>
      </c>
      <c r="L347">
        <v>17</v>
      </c>
      <c r="M347">
        <v>8</v>
      </c>
      <c r="N347">
        <v>1414</v>
      </c>
      <c r="O347">
        <v>1977</v>
      </c>
      <c r="P347" t="str">
        <f t="shared" si="30"/>
        <v>Valid</v>
      </c>
      <c r="Q347" t="str">
        <f t="shared" si="25"/>
        <v>weekends</v>
      </c>
      <c r="R347" t="str" cm="1">
        <f t="array" ref="R347">_xlfn.IFS(
N347=MAX(K347,L347,M347,N347),"Sedentary",M347
=MAX(K347,L347,M347,N347),"Lightly Active",
L347=MAX(K347,L347,M347,N347),"Fairly Active",
K347=MAX(K347,L347,M347,N347),"Very Active"
)</f>
        <v>Sedentary</v>
      </c>
      <c r="S347" t="str">
        <f t="shared" si="26"/>
        <v>Sedentary</v>
      </c>
    </row>
    <row r="348" spans="1:19" x14ac:dyDescent="0.3">
      <c r="A348">
        <v>6775888955</v>
      </c>
      <c r="B348" s="1">
        <v>42464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1440</v>
      </c>
      <c r="O348">
        <v>1841</v>
      </c>
      <c r="P348" t="str">
        <f>IF(AND(C348=0,D348=0,L348&gt;0),"Invalid","Valid")</f>
        <v>Valid</v>
      </c>
      <c r="Q348" t="str">
        <f t="shared" si="25"/>
        <v>weekdays</v>
      </c>
      <c r="R348" t="str" cm="1">
        <f t="array" ref="R348">_xlfn.IFS(
N348=MAX(K348,L348,M348,N348),"Sedentary",M348
=MAX(K348,L348,M348,N348),"Lightly Active",
L348=MAX(K348,L348,M348,N348),"Fairly Active",
K348=MAX(K348,L348,M348,N348),"Very Active"
)</f>
        <v>Sedentary</v>
      </c>
      <c r="S348" t="str">
        <f t="shared" si="26"/>
        <v>Sedentary</v>
      </c>
    </row>
    <row r="349" spans="1:19" x14ac:dyDescent="0.3">
      <c r="A349">
        <v>6775888955</v>
      </c>
      <c r="B349" s="1">
        <v>42465</v>
      </c>
      <c r="C349">
        <v>9348</v>
      </c>
      <c r="D349">
        <v>6.6999998092651403</v>
      </c>
      <c r="E349">
        <v>6.6999998092651403</v>
      </c>
      <c r="F349">
        <v>0</v>
      </c>
      <c r="G349">
        <v>1.12999999523163</v>
      </c>
      <c r="H349">
        <v>2.03999996185303</v>
      </c>
      <c r="I349">
        <v>3.1400001049041699</v>
      </c>
      <c r="J349">
        <v>0</v>
      </c>
      <c r="K349">
        <v>56</v>
      </c>
      <c r="L349">
        <v>133</v>
      </c>
      <c r="M349">
        <v>240</v>
      </c>
      <c r="N349">
        <v>1011</v>
      </c>
      <c r="O349">
        <v>4286</v>
      </c>
      <c r="P349" t="str">
        <f t="shared" ref="P349:P402" si="31">IF(AND(C349=0,D349=0,L349&gt;0),"Invalid","Valid")</f>
        <v>Valid</v>
      </c>
      <c r="Q349" t="str">
        <f t="shared" si="25"/>
        <v>weekdays</v>
      </c>
      <c r="R349" t="str" cm="1">
        <f t="array" ref="R349">_xlfn.IFS(
N349=MAX(K349,L349,M349,N349),"Sedentary",M349
=MAX(K349,L349,M349,N349),"Lightly Active",
L349=MAX(K349,L349,M349,N349),"Fairly Active",
K349=MAX(K349,L349,M349,N349),"Very Active"
)</f>
        <v>Sedentary</v>
      </c>
      <c r="S349" t="str">
        <f t="shared" si="26"/>
        <v>Sedentary</v>
      </c>
    </row>
    <row r="350" spans="1:19" x14ac:dyDescent="0.3">
      <c r="A350">
        <v>6775888955</v>
      </c>
      <c r="B350" s="1">
        <v>42466</v>
      </c>
      <c r="C350">
        <v>11761</v>
      </c>
      <c r="D350">
        <v>8.4300003051757795</v>
      </c>
      <c r="E350">
        <v>8.4300003051757795</v>
      </c>
      <c r="F350">
        <v>0</v>
      </c>
      <c r="G350">
        <v>1.3099999427795399</v>
      </c>
      <c r="H350">
        <v>2.4400000572204599</v>
      </c>
      <c r="I350">
        <v>4.6799998283386204</v>
      </c>
      <c r="J350">
        <v>0</v>
      </c>
      <c r="K350">
        <v>24</v>
      </c>
      <c r="L350">
        <v>99</v>
      </c>
      <c r="M350">
        <v>300</v>
      </c>
      <c r="N350">
        <v>550</v>
      </c>
      <c r="O350">
        <v>3920</v>
      </c>
      <c r="P350" t="str">
        <f t="shared" si="31"/>
        <v>Valid</v>
      </c>
      <c r="Q350" t="str">
        <f t="shared" si="25"/>
        <v>weekdays</v>
      </c>
      <c r="R350" t="str" cm="1">
        <f t="array" ref="R350">_xlfn.IFS(
N350=MAX(K350,L350,M350,N350),"Sedentary",M350
=MAX(K350,L350,M350,N350),"Lightly Active",
L350=MAX(K350,L350,M350,N350),"Fairly Active",
K350=MAX(K350,L350,M350,N350),"Very Active"
)</f>
        <v>Sedentary</v>
      </c>
      <c r="S350" t="str">
        <f t="shared" si="26"/>
        <v>Sedentary</v>
      </c>
    </row>
    <row r="351" spans="1:19" x14ac:dyDescent="0.3">
      <c r="A351">
        <v>6775888955</v>
      </c>
      <c r="B351" s="1">
        <v>42467</v>
      </c>
      <c r="C351">
        <v>13987</v>
      </c>
      <c r="D351">
        <v>10.0299997329712</v>
      </c>
      <c r="E351">
        <v>10.0299997329712</v>
      </c>
      <c r="F351">
        <v>0</v>
      </c>
      <c r="G351">
        <v>2.8699998855590798</v>
      </c>
      <c r="H351">
        <v>3.3399999141693102</v>
      </c>
      <c r="I351">
        <v>3.8199999332428001</v>
      </c>
      <c r="J351">
        <v>0</v>
      </c>
      <c r="K351">
        <v>46</v>
      </c>
      <c r="L351">
        <v>114</v>
      </c>
      <c r="M351">
        <v>250</v>
      </c>
      <c r="N351">
        <v>739</v>
      </c>
      <c r="O351">
        <v>3856</v>
      </c>
      <c r="P351" t="str">
        <f t="shared" si="31"/>
        <v>Valid</v>
      </c>
      <c r="Q351" t="str">
        <f t="shared" si="25"/>
        <v>weekdays</v>
      </c>
      <c r="R351" t="str" cm="1">
        <f t="array" ref="R351">_xlfn.IFS(
N351=MAX(K351,L351,M351,N351),"Sedentary",M351
=MAX(K351,L351,M351,N351),"Lightly Active",
L351=MAX(K351,L351,M351,N351),"Fairly Active",
K351=MAX(K351,L351,M351,N351),"Very Active"
)</f>
        <v>Sedentary</v>
      </c>
      <c r="S351" t="str">
        <f t="shared" si="26"/>
        <v>Sedentary</v>
      </c>
    </row>
    <row r="352" spans="1:19" x14ac:dyDescent="0.3">
      <c r="A352">
        <v>6775888955</v>
      </c>
      <c r="B352" s="1">
        <v>42468</v>
      </c>
      <c r="C352">
        <v>4131</v>
      </c>
      <c r="D352">
        <v>2.96000003814697</v>
      </c>
      <c r="E352">
        <v>2.96000003814697</v>
      </c>
      <c r="F352">
        <v>0</v>
      </c>
      <c r="G352">
        <v>1.37000000476837</v>
      </c>
      <c r="H352">
        <v>0.61000001430511497</v>
      </c>
      <c r="I352">
        <v>0.980000019073486</v>
      </c>
      <c r="J352">
        <v>0</v>
      </c>
      <c r="K352">
        <v>27</v>
      </c>
      <c r="L352">
        <v>30</v>
      </c>
      <c r="M352">
        <v>75</v>
      </c>
      <c r="N352">
        <v>1308</v>
      </c>
      <c r="O352">
        <v>2584</v>
      </c>
      <c r="P352" t="str">
        <f t="shared" si="31"/>
        <v>Valid</v>
      </c>
      <c r="Q352" t="str">
        <f t="shared" si="25"/>
        <v>weekdays</v>
      </c>
      <c r="R352" t="str" cm="1">
        <f t="array" ref="R352">_xlfn.IFS(
N352=MAX(K352,L352,M352,N352),"Sedentary",M352
=MAX(K352,L352,M352,N352),"Lightly Active",
L352=MAX(K352,L352,M352,N352),"Fairly Active",
K352=MAX(K352,L352,M352,N352),"Very Active"
)</f>
        <v>Sedentary</v>
      </c>
      <c r="S352" t="str">
        <f t="shared" si="26"/>
        <v>Sedentary</v>
      </c>
    </row>
    <row r="353" spans="1:19" x14ac:dyDescent="0.3">
      <c r="A353">
        <v>6775888955</v>
      </c>
      <c r="B353" s="1">
        <v>42469</v>
      </c>
      <c r="C353">
        <v>14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1</v>
      </c>
      <c r="N353">
        <v>601</v>
      </c>
      <c r="O353">
        <v>787</v>
      </c>
      <c r="P353" t="str">
        <f t="shared" si="31"/>
        <v>Valid</v>
      </c>
      <c r="Q353" t="str">
        <f t="shared" si="25"/>
        <v>weekends</v>
      </c>
      <c r="R353" t="str" cm="1">
        <f t="array" ref="R353">_xlfn.IFS(
N353=MAX(K353,L353,M353,N353),"Sedentary",M353
=MAX(K353,L353,M353,N353),"Lightly Active",
L353=MAX(K353,L353,M353,N353),"Fairly Active",
K353=MAX(K353,L353,M353,N353),"Very Active"
)</f>
        <v>Sedentary</v>
      </c>
      <c r="S353" t="str">
        <f t="shared" si="26"/>
        <v>Sedentary</v>
      </c>
    </row>
    <row r="354" spans="1:19" x14ac:dyDescent="0.3">
      <c r="A354">
        <v>6962181067</v>
      </c>
      <c r="B354" s="1">
        <v>42459</v>
      </c>
      <c r="C354">
        <v>15491</v>
      </c>
      <c r="D354">
        <v>10.2399997711182</v>
      </c>
      <c r="E354">
        <v>10.2399997711182</v>
      </c>
      <c r="F354">
        <v>0</v>
      </c>
      <c r="G354">
        <v>1.28999996185303</v>
      </c>
      <c r="H354">
        <v>4.4899997711181596</v>
      </c>
      <c r="I354">
        <v>4.46000003814697</v>
      </c>
      <c r="J354">
        <v>0</v>
      </c>
      <c r="K354">
        <v>18</v>
      </c>
      <c r="L354">
        <v>77</v>
      </c>
      <c r="M354">
        <v>272</v>
      </c>
      <c r="N354">
        <v>641</v>
      </c>
      <c r="O354">
        <v>2244</v>
      </c>
      <c r="P354" t="str">
        <f t="shared" si="31"/>
        <v>Valid</v>
      </c>
      <c r="Q354" t="str">
        <f t="shared" si="25"/>
        <v>weekdays</v>
      </c>
      <c r="R354" t="str" cm="1">
        <f t="array" ref="R354">_xlfn.IFS(
N354=MAX(K354,L354,M354,N354),"Sedentary",M354
=MAX(K354,L354,M354,N354),"Lightly Active",
L354=MAX(K354,L354,M354,N354),"Fairly Active",
K354=MAX(K354,L354,M354,N354),"Very Active"
)</f>
        <v>Sedentary</v>
      </c>
      <c r="S354" t="str">
        <f t="shared" si="26"/>
        <v>Sedentary</v>
      </c>
    </row>
    <row r="355" spans="1:19" x14ac:dyDescent="0.3">
      <c r="A355">
        <v>6962181067</v>
      </c>
      <c r="B355" s="1">
        <v>42460</v>
      </c>
      <c r="C355">
        <v>14097</v>
      </c>
      <c r="D355">
        <v>9.3199996948242205</v>
      </c>
      <c r="E355">
        <v>9.3199996948242205</v>
      </c>
      <c r="F355">
        <v>0</v>
      </c>
      <c r="G355">
        <v>3.5</v>
      </c>
      <c r="H355">
        <v>1.91999995708466</v>
      </c>
      <c r="I355">
        <v>3.9000000953674299</v>
      </c>
      <c r="J355">
        <v>0</v>
      </c>
      <c r="K355">
        <v>50</v>
      </c>
      <c r="L355">
        <v>32</v>
      </c>
      <c r="M355">
        <v>234</v>
      </c>
      <c r="N355">
        <v>595</v>
      </c>
      <c r="O355">
        <v>2188</v>
      </c>
      <c r="P355" t="str">
        <f t="shared" si="31"/>
        <v>Valid</v>
      </c>
      <c r="Q355" t="str">
        <f t="shared" si="25"/>
        <v>weekdays</v>
      </c>
      <c r="R355" t="str" cm="1">
        <f t="array" ref="R355">_xlfn.IFS(
N355=MAX(K355,L355,M355,N355),"Sedentary",M355
=MAX(K355,L355,M355,N355),"Lightly Active",
L355=MAX(K355,L355,M355,N355),"Fairly Active",
K355=MAX(K355,L355,M355,N355),"Very Active"
)</f>
        <v>Sedentary</v>
      </c>
      <c r="S355" t="str">
        <f t="shared" si="26"/>
        <v>Sedentary</v>
      </c>
    </row>
    <row r="356" spans="1:19" x14ac:dyDescent="0.3">
      <c r="A356">
        <v>6962181067</v>
      </c>
      <c r="B356" s="1">
        <v>42461</v>
      </c>
      <c r="C356">
        <v>10467</v>
      </c>
      <c r="D356">
        <v>6.9800000190734899</v>
      </c>
      <c r="E356">
        <v>6.9800000190734899</v>
      </c>
      <c r="F356">
        <v>0</v>
      </c>
      <c r="G356">
        <v>0.69999998807907104</v>
      </c>
      <c r="H356">
        <v>2.4300000667571999</v>
      </c>
      <c r="I356">
        <v>3.8499999046325701</v>
      </c>
      <c r="J356">
        <v>0</v>
      </c>
      <c r="K356">
        <v>9</v>
      </c>
      <c r="L356">
        <v>45</v>
      </c>
      <c r="M356">
        <v>252</v>
      </c>
      <c r="N356">
        <v>602</v>
      </c>
      <c r="O356">
        <v>2014</v>
      </c>
      <c r="P356" t="str">
        <f t="shared" si="31"/>
        <v>Valid</v>
      </c>
      <c r="Q356" t="str">
        <f t="shared" si="25"/>
        <v>weekdays</v>
      </c>
      <c r="R356" t="str" cm="1">
        <f t="array" ref="R356">_xlfn.IFS(
N356=MAX(K356,L356,M356,N356),"Sedentary",M356
=MAX(K356,L356,M356,N356),"Lightly Active",
L356=MAX(K356,L356,M356,N356),"Fairly Active",
K356=MAX(K356,L356,M356,N356),"Very Active"
)</f>
        <v>Sedentary</v>
      </c>
      <c r="S356" t="str">
        <f t="shared" si="26"/>
        <v>Sedentary</v>
      </c>
    </row>
    <row r="357" spans="1:19" x14ac:dyDescent="0.3">
      <c r="A357">
        <v>6962181067</v>
      </c>
      <c r="B357" s="1">
        <v>42462</v>
      </c>
      <c r="C357">
        <v>12437</v>
      </c>
      <c r="D357">
        <v>8.3000001907348597</v>
      </c>
      <c r="E357">
        <v>8.3000001907348597</v>
      </c>
      <c r="F357">
        <v>0</v>
      </c>
      <c r="G357">
        <v>3.7599999904632599</v>
      </c>
      <c r="H357">
        <v>1.28999996185303</v>
      </c>
      <c r="I357">
        <v>3.2400000095367401</v>
      </c>
      <c r="J357">
        <v>0</v>
      </c>
      <c r="K357">
        <v>50</v>
      </c>
      <c r="L357">
        <v>24</v>
      </c>
      <c r="M357">
        <v>219</v>
      </c>
      <c r="N357">
        <v>732</v>
      </c>
      <c r="O357">
        <v>2115</v>
      </c>
      <c r="P357" t="str">
        <f t="shared" si="31"/>
        <v>Valid</v>
      </c>
      <c r="Q357" t="str">
        <f t="shared" si="25"/>
        <v>weekends</v>
      </c>
      <c r="R357" t="str" cm="1">
        <f t="array" ref="R357">_xlfn.IFS(
N357=MAX(K357,L357,M357,N357),"Sedentary",M357
=MAX(K357,L357,M357,N357),"Lightly Active",
L357=MAX(K357,L357,M357,N357),"Fairly Active",
K357=MAX(K357,L357,M357,N357),"Very Active"
)</f>
        <v>Sedentary</v>
      </c>
      <c r="S357" t="str">
        <f t="shared" si="26"/>
        <v>Sedentary</v>
      </c>
    </row>
    <row r="358" spans="1:19" x14ac:dyDescent="0.3">
      <c r="A358">
        <v>6962181067</v>
      </c>
      <c r="B358" s="1">
        <v>42463</v>
      </c>
      <c r="C358">
        <v>12307</v>
      </c>
      <c r="D358">
        <v>8.1400003433227504</v>
      </c>
      <c r="E358">
        <v>8.1400003433227504</v>
      </c>
      <c r="F358">
        <v>0</v>
      </c>
      <c r="G358">
        <v>1.0099999904632599</v>
      </c>
      <c r="H358">
        <v>3.2599999904632599</v>
      </c>
      <c r="I358">
        <v>3.8699998855590798</v>
      </c>
      <c r="J358">
        <v>0</v>
      </c>
      <c r="K358">
        <v>14</v>
      </c>
      <c r="L358">
        <v>51</v>
      </c>
      <c r="M358">
        <v>218</v>
      </c>
      <c r="N358">
        <v>589</v>
      </c>
      <c r="O358">
        <v>2055</v>
      </c>
      <c r="P358" t="str">
        <f t="shared" si="31"/>
        <v>Valid</v>
      </c>
      <c r="Q358" t="str">
        <f t="shared" si="25"/>
        <v>weekends</v>
      </c>
      <c r="R358" t="str" cm="1">
        <f t="array" ref="R358">_xlfn.IFS(
N358=MAX(K358,L358,M358,N358),"Sedentary",M358
=MAX(K358,L358,M358,N358),"Lightly Active",
L358=MAX(K358,L358,M358,N358),"Fairly Active",
K358=MAX(K358,L358,M358,N358),"Very Active"
)</f>
        <v>Sedentary</v>
      </c>
      <c r="S358" t="str">
        <f t="shared" si="26"/>
        <v>Sedentary</v>
      </c>
    </row>
    <row r="359" spans="1:19" x14ac:dyDescent="0.3">
      <c r="A359">
        <v>6962181067</v>
      </c>
      <c r="B359" s="1">
        <v>42464</v>
      </c>
      <c r="C359">
        <v>18952</v>
      </c>
      <c r="D359">
        <v>12.800000190734901</v>
      </c>
      <c r="E359">
        <v>12.800000190734901</v>
      </c>
      <c r="F359">
        <v>0</v>
      </c>
      <c r="G359">
        <v>5.9099998474121103</v>
      </c>
      <c r="H359">
        <v>1.2300000190734901</v>
      </c>
      <c r="I359">
        <v>5.6599998474121103</v>
      </c>
      <c r="J359">
        <v>0</v>
      </c>
      <c r="K359">
        <v>73</v>
      </c>
      <c r="L359">
        <v>20</v>
      </c>
      <c r="M359">
        <v>327</v>
      </c>
      <c r="N359">
        <v>570</v>
      </c>
      <c r="O359">
        <v>2437</v>
      </c>
      <c r="P359" t="str">
        <f t="shared" si="31"/>
        <v>Valid</v>
      </c>
      <c r="Q359" t="str">
        <f t="shared" si="25"/>
        <v>weekdays</v>
      </c>
      <c r="R359" t="str" cm="1">
        <f t="array" ref="R359">_xlfn.IFS(
N359=MAX(K359,L359,M359,N359),"Sedentary",M359
=MAX(K359,L359,M359,N359),"Lightly Active",
L359=MAX(K359,L359,M359,N359),"Fairly Active",
K359=MAX(K359,L359,M359,N359),"Very Active"
)</f>
        <v>Sedentary</v>
      </c>
      <c r="S359" t="str">
        <f t="shared" si="26"/>
        <v>Sedentary</v>
      </c>
    </row>
    <row r="360" spans="1:19" x14ac:dyDescent="0.3">
      <c r="A360">
        <v>6962181067</v>
      </c>
      <c r="B360" s="1">
        <v>42465</v>
      </c>
      <c r="C360">
        <v>12010</v>
      </c>
      <c r="D360">
        <v>7.9400000572204599</v>
      </c>
      <c r="E360">
        <v>7.9400000572204599</v>
      </c>
      <c r="F360">
        <v>0</v>
      </c>
      <c r="G360">
        <v>2.3800001144409202</v>
      </c>
      <c r="H360">
        <v>0.94999998807907104</v>
      </c>
      <c r="I360">
        <v>4.6100001335143999</v>
      </c>
      <c r="J360">
        <v>0</v>
      </c>
      <c r="K360">
        <v>38</v>
      </c>
      <c r="L360">
        <v>17</v>
      </c>
      <c r="M360">
        <v>287</v>
      </c>
      <c r="N360">
        <v>692</v>
      </c>
      <c r="O360">
        <v>2158</v>
      </c>
      <c r="P360" t="str">
        <f t="shared" si="31"/>
        <v>Valid</v>
      </c>
      <c r="Q360" t="str">
        <f t="shared" si="25"/>
        <v>weekdays</v>
      </c>
      <c r="R360" t="str" cm="1">
        <f t="array" ref="R360">_xlfn.IFS(
N360=MAX(K360,L360,M360,N360),"Sedentary",M360
=MAX(K360,L360,M360,N360),"Lightly Active",
L360=MAX(K360,L360,M360,N360),"Fairly Active",
K360=MAX(K360,L360,M360,N360),"Very Active"
)</f>
        <v>Sedentary</v>
      </c>
      <c r="S360" t="str">
        <f t="shared" si="26"/>
        <v>Sedentary</v>
      </c>
    </row>
    <row r="361" spans="1:19" x14ac:dyDescent="0.3">
      <c r="A361">
        <v>6962181067</v>
      </c>
      <c r="B361" s="1">
        <v>42466</v>
      </c>
      <c r="C361">
        <v>12480</v>
      </c>
      <c r="D361">
        <v>8.8599996566772496</v>
      </c>
      <c r="E361">
        <v>8.25</v>
      </c>
      <c r="F361">
        <v>3.9727950096130402</v>
      </c>
      <c r="G361">
        <v>4.1799998283386204</v>
      </c>
      <c r="H361">
        <v>0.68999999761581399</v>
      </c>
      <c r="I361">
        <v>4</v>
      </c>
      <c r="J361">
        <v>0</v>
      </c>
      <c r="K361">
        <v>55</v>
      </c>
      <c r="L361">
        <v>14</v>
      </c>
      <c r="M361">
        <v>276</v>
      </c>
      <c r="N361">
        <v>593</v>
      </c>
      <c r="O361">
        <v>2170</v>
      </c>
      <c r="P361" t="str">
        <f t="shared" si="31"/>
        <v>Valid</v>
      </c>
      <c r="Q361" t="str">
        <f t="shared" si="25"/>
        <v>weekdays</v>
      </c>
      <c r="R361" t="str" cm="1">
        <f t="array" ref="R361">_xlfn.IFS(
N361=MAX(K361,L361,M361,N361),"Sedentary",M361
=MAX(K361,L361,M361,N361),"Lightly Active",
L361=MAX(K361,L361,M361,N361),"Fairly Active",
K361=MAX(K361,L361,M361,N361),"Very Active"
)</f>
        <v>Sedentary</v>
      </c>
      <c r="S361" t="str">
        <f t="shared" si="26"/>
        <v>Sedentary</v>
      </c>
    </row>
    <row r="362" spans="1:19" x14ac:dyDescent="0.3">
      <c r="A362">
        <v>6962181067</v>
      </c>
      <c r="B362" s="1">
        <v>42467</v>
      </c>
      <c r="C362">
        <v>13417</v>
      </c>
      <c r="D362">
        <v>9.6499996185302699</v>
      </c>
      <c r="E362">
        <v>8.8699998855590803</v>
      </c>
      <c r="F362">
        <v>1.92630195617676</v>
      </c>
      <c r="G362">
        <v>3.3900001049041699</v>
      </c>
      <c r="H362">
        <v>1.25</v>
      </c>
      <c r="I362">
        <v>4.9099998474121103</v>
      </c>
      <c r="J362">
        <v>0.10000000149011599</v>
      </c>
      <c r="K362">
        <v>45</v>
      </c>
      <c r="L362">
        <v>16</v>
      </c>
      <c r="M362">
        <v>284</v>
      </c>
      <c r="N362">
        <v>665</v>
      </c>
      <c r="O362">
        <v>2244</v>
      </c>
      <c r="P362" t="str">
        <f t="shared" si="31"/>
        <v>Valid</v>
      </c>
      <c r="Q362" t="str">
        <f t="shared" si="25"/>
        <v>weekdays</v>
      </c>
      <c r="R362" t="str" cm="1">
        <f t="array" ref="R362">_xlfn.IFS(
N362=MAX(K362,L362,M362,N362),"Sedentary",M362
=MAX(K362,L362,M362,N362),"Lightly Active",
L362=MAX(K362,L362,M362,N362),"Fairly Active",
K362=MAX(K362,L362,M362,N362),"Very Active"
)</f>
        <v>Sedentary</v>
      </c>
      <c r="S362" t="str">
        <f t="shared" si="26"/>
        <v>Sedentary</v>
      </c>
    </row>
    <row r="363" spans="1:19" x14ac:dyDescent="0.3">
      <c r="A363">
        <v>6962181067</v>
      </c>
      <c r="B363" s="1">
        <v>42468</v>
      </c>
      <c r="C363">
        <v>14400</v>
      </c>
      <c r="D363">
        <v>10.8800001144409</v>
      </c>
      <c r="E363">
        <v>9.5200004577636701</v>
      </c>
      <c r="F363">
        <v>5.4568638801574698</v>
      </c>
      <c r="G363">
        <v>2.4700000286102299</v>
      </c>
      <c r="H363">
        <v>2.8800001144409202</v>
      </c>
      <c r="I363">
        <v>5.5300002098083496</v>
      </c>
      <c r="J363">
        <v>0</v>
      </c>
      <c r="K363">
        <v>27</v>
      </c>
      <c r="L363">
        <v>37</v>
      </c>
      <c r="M363">
        <v>276</v>
      </c>
      <c r="N363">
        <v>697</v>
      </c>
      <c r="O363">
        <v>2188</v>
      </c>
      <c r="P363" t="str">
        <f t="shared" si="31"/>
        <v>Valid</v>
      </c>
      <c r="Q363" t="str">
        <f t="shared" si="25"/>
        <v>weekdays</v>
      </c>
      <c r="R363" t="str" cm="1">
        <f t="array" ref="R363">_xlfn.IFS(
N363=MAX(K363,L363,M363,N363),"Sedentary",M363
=MAX(K363,L363,M363,N363),"Lightly Active",
L363=MAX(K363,L363,M363,N363),"Fairly Active",
K363=MAX(K363,L363,M363,N363),"Very Active"
)</f>
        <v>Sedentary</v>
      </c>
      <c r="S363" t="str">
        <f t="shared" si="26"/>
        <v>Sedentary</v>
      </c>
    </row>
    <row r="364" spans="1:19" x14ac:dyDescent="0.3">
      <c r="A364">
        <v>6962181067</v>
      </c>
      <c r="B364" s="1">
        <v>42469</v>
      </c>
      <c r="C364">
        <v>12495</v>
      </c>
      <c r="D364">
        <v>8.2600002288818395</v>
      </c>
      <c r="E364">
        <v>8.2600002288818395</v>
      </c>
      <c r="F364">
        <v>0</v>
      </c>
      <c r="G364">
        <v>2.21000003814697</v>
      </c>
      <c r="H364">
        <v>1.0900000333786</v>
      </c>
      <c r="I364">
        <v>4.96000003814697</v>
      </c>
      <c r="J364">
        <v>0</v>
      </c>
      <c r="K364">
        <v>33</v>
      </c>
      <c r="L364">
        <v>19</v>
      </c>
      <c r="M364">
        <v>324</v>
      </c>
      <c r="N364">
        <v>609</v>
      </c>
      <c r="O364">
        <v>2231</v>
      </c>
      <c r="P364" t="str">
        <f t="shared" si="31"/>
        <v>Valid</v>
      </c>
      <c r="Q364" t="str">
        <f t="shared" si="25"/>
        <v>weekends</v>
      </c>
      <c r="R364" t="str" cm="1">
        <f t="array" ref="R364">_xlfn.IFS(
N364=MAX(K364,L364,M364,N364),"Sedentary",M364
=MAX(K364,L364,M364,N364),"Lightly Active",
L364=MAX(K364,L364,M364,N364),"Fairly Active",
K364=MAX(K364,L364,M364,N364),"Very Active"
)</f>
        <v>Sedentary</v>
      </c>
      <c r="S364" t="str">
        <f t="shared" si="26"/>
        <v>Sedentary</v>
      </c>
    </row>
    <row r="365" spans="1:19" x14ac:dyDescent="0.3">
      <c r="A365">
        <v>6962181067</v>
      </c>
      <c r="B365" s="1">
        <v>42470</v>
      </c>
      <c r="C365">
        <v>10148</v>
      </c>
      <c r="D365">
        <v>6.71000003814697</v>
      </c>
      <c r="E365">
        <v>6.71000003814697</v>
      </c>
      <c r="F365">
        <v>0</v>
      </c>
      <c r="G365">
        <v>1.3600000143051101</v>
      </c>
      <c r="H365">
        <v>0.21999999880790699</v>
      </c>
      <c r="I365">
        <v>5.1300001144409197</v>
      </c>
      <c r="J365">
        <v>0</v>
      </c>
      <c r="K365">
        <v>19</v>
      </c>
      <c r="L365">
        <v>7</v>
      </c>
      <c r="M365">
        <v>306</v>
      </c>
      <c r="N365">
        <v>679</v>
      </c>
      <c r="O365">
        <v>2100</v>
      </c>
      <c r="P365" t="str">
        <f t="shared" si="31"/>
        <v>Valid</v>
      </c>
      <c r="Q365" t="str">
        <f t="shared" si="25"/>
        <v>weekends</v>
      </c>
      <c r="R365" t="str" cm="1">
        <f t="array" ref="R365">_xlfn.IFS(
N365=MAX(K365,L365,M365,N365),"Sedentary",M365
=MAX(K365,L365,M365,N365),"Lightly Active",
L365=MAX(K365,L365,M365,N365),"Fairly Active",
K365=MAX(K365,L365,M365,N365),"Very Active"
)</f>
        <v>Sedentary</v>
      </c>
      <c r="S365" t="str">
        <f t="shared" si="26"/>
        <v>Sedentary</v>
      </c>
    </row>
    <row r="366" spans="1:19" x14ac:dyDescent="0.3">
      <c r="A366">
        <v>6962181067</v>
      </c>
      <c r="B366" s="1">
        <v>42471</v>
      </c>
      <c r="C366">
        <v>12362</v>
      </c>
      <c r="D366">
        <v>9.0900001525878906</v>
      </c>
      <c r="E366">
        <v>8.1700000762939506</v>
      </c>
      <c r="F366">
        <v>2.6964550018310498</v>
      </c>
      <c r="G366">
        <v>1.0900000333786</v>
      </c>
      <c r="H366">
        <v>2.7300000190734899</v>
      </c>
      <c r="I366">
        <v>5.2699999809265101</v>
      </c>
      <c r="J366">
        <v>0</v>
      </c>
      <c r="K366">
        <v>21</v>
      </c>
      <c r="L366">
        <v>38</v>
      </c>
      <c r="M366">
        <v>297</v>
      </c>
      <c r="N366">
        <v>678</v>
      </c>
      <c r="O366">
        <v>2188</v>
      </c>
      <c r="P366" t="str">
        <f t="shared" si="31"/>
        <v>Valid</v>
      </c>
      <c r="Q366" t="str">
        <f t="shared" si="25"/>
        <v>weekdays</v>
      </c>
      <c r="R366" t="str" cm="1">
        <f t="array" ref="R366">_xlfn.IFS(
N366=MAX(K366,L366,M366,N366),"Sedentary",M366
=MAX(K366,L366,M366,N366),"Lightly Active",
L366=MAX(K366,L366,M366,N366),"Fairly Active",
K366=MAX(K366,L366,M366,N366),"Very Active"
)</f>
        <v>Sedentary</v>
      </c>
      <c r="S366" t="str">
        <f t="shared" si="26"/>
        <v>Sedentary</v>
      </c>
    </row>
    <row r="367" spans="1:19" x14ac:dyDescent="0.3">
      <c r="A367">
        <v>6962181067</v>
      </c>
      <c r="B367" s="1">
        <v>42472</v>
      </c>
      <c r="C367">
        <v>5893</v>
      </c>
      <c r="D367">
        <v>3.9000000953674299</v>
      </c>
      <c r="E367">
        <v>3.9000000953674299</v>
      </c>
      <c r="F367">
        <v>0</v>
      </c>
      <c r="G367">
        <v>2.8800001144409202</v>
      </c>
      <c r="H367">
        <v>0.56000000238418601</v>
      </c>
      <c r="I367">
        <v>0.46000000834464999</v>
      </c>
      <c r="J367">
        <v>0</v>
      </c>
      <c r="K367">
        <v>43</v>
      </c>
      <c r="L367">
        <v>9</v>
      </c>
      <c r="M367">
        <v>48</v>
      </c>
      <c r="N367">
        <v>146</v>
      </c>
      <c r="O367">
        <v>917</v>
      </c>
      <c r="P367" t="str">
        <f t="shared" si="31"/>
        <v>Valid</v>
      </c>
      <c r="Q367" t="str">
        <f t="shared" si="25"/>
        <v>weekdays</v>
      </c>
      <c r="R367" t="str" cm="1">
        <f t="array" ref="R367">_xlfn.IFS(
N367=MAX(K367,L367,M367,N367),"Sedentary",M367
=MAX(K367,L367,M367,N367),"Lightly Active",
L367=MAX(K367,L367,M367,N367),"Fairly Active",
K367=MAX(K367,L367,M367,N367),"Very Active"
)</f>
        <v>Sedentary</v>
      </c>
      <c r="S367" t="str">
        <f t="shared" si="26"/>
        <v>Sedentary</v>
      </c>
    </row>
    <row r="368" spans="1:19" x14ac:dyDescent="0.3">
      <c r="A368">
        <v>7007744171</v>
      </c>
      <c r="B368" s="1">
        <v>42461</v>
      </c>
      <c r="C368">
        <v>11680</v>
      </c>
      <c r="D368">
        <v>9.0600004196166992</v>
      </c>
      <c r="E368">
        <v>7.8099999427795401</v>
      </c>
      <c r="F368">
        <v>4.9012827873229998</v>
      </c>
      <c r="G368">
        <v>4.4899997711181596</v>
      </c>
      <c r="H368">
        <v>0.33000001311302202</v>
      </c>
      <c r="I368">
        <v>4.2399997711181596</v>
      </c>
      <c r="J368">
        <v>0</v>
      </c>
      <c r="K368">
        <v>50</v>
      </c>
      <c r="L368">
        <v>7</v>
      </c>
      <c r="M368">
        <v>244</v>
      </c>
      <c r="N368">
        <v>1139</v>
      </c>
      <c r="O368">
        <v>2573</v>
      </c>
      <c r="P368" t="str">
        <f t="shared" si="31"/>
        <v>Valid</v>
      </c>
      <c r="Q368" t="str">
        <f t="shared" si="25"/>
        <v>weekdays</v>
      </c>
      <c r="R368" t="str" cm="1">
        <f t="array" ref="R368">_xlfn.IFS(
N368=MAX(K368,L368,M368,N368),"Sedentary",M368
=MAX(K368,L368,M368,N368),"Lightly Active",
L368=MAX(K368,L368,M368,N368),"Fairly Active",
K368=MAX(K368,L368,M368,N368),"Very Active"
)</f>
        <v>Sedentary</v>
      </c>
      <c r="S368" t="str">
        <f t="shared" si="26"/>
        <v>Sedentary</v>
      </c>
    </row>
    <row r="369" spans="1:19" x14ac:dyDescent="0.3">
      <c r="A369">
        <v>7007744171</v>
      </c>
      <c r="B369" s="1">
        <v>42462</v>
      </c>
      <c r="C369">
        <v>10976</v>
      </c>
      <c r="D369">
        <v>7.3400001525878897</v>
      </c>
      <c r="E369">
        <v>7.3400001525878897</v>
      </c>
      <c r="F369">
        <v>0</v>
      </c>
      <c r="G369">
        <v>0.55000001192092896</v>
      </c>
      <c r="H369">
        <v>0.67000001668930098</v>
      </c>
      <c r="I369">
        <v>6.1300001144409197</v>
      </c>
      <c r="J369">
        <v>0</v>
      </c>
      <c r="K369">
        <v>9</v>
      </c>
      <c r="L369">
        <v>16</v>
      </c>
      <c r="M369">
        <v>271</v>
      </c>
      <c r="N369">
        <v>1075</v>
      </c>
      <c r="O369">
        <v>2575</v>
      </c>
      <c r="P369" t="str">
        <f t="shared" si="31"/>
        <v>Valid</v>
      </c>
      <c r="Q369" t="str">
        <f t="shared" si="25"/>
        <v>weekends</v>
      </c>
      <c r="R369" t="str" cm="1">
        <f t="array" ref="R369">_xlfn.IFS(
N369=MAX(K369,L369,M369,N369),"Sedentary",M369
=MAX(K369,L369,M369,N369),"Lightly Active",
L369=MAX(K369,L369,M369,N369),"Fairly Active",
K369=MAX(K369,L369,M369,N369),"Very Active"
)</f>
        <v>Sedentary</v>
      </c>
      <c r="S369" t="str">
        <f t="shared" si="26"/>
        <v>Sedentary</v>
      </c>
    </row>
    <row r="370" spans="1:19" x14ac:dyDescent="0.3">
      <c r="A370">
        <v>7007744171</v>
      </c>
      <c r="B370" s="1">
        <v>42463</v>
      </c>
      <c r="C370">
        <v>16806</v>
      </c>
      <c r="D370">
        <v>11.2399997711182</v>
      </c>
      <c r="E370">
        <v>11.2399997711182</v>
      </c>
      <c r="F370">
        <v>0</v>
      </c>
      <c r="G370">
        <v>6.4099998474121103</v>
      </c>
      <c r="H370">
        <v>1.37000000476837</v>
      </c>
      <c r="I370">
        <v>3.4700000286102299</v>
      </c>
      <c r="J370">
        <v>0</v>
      </c>
      <c r="K370">
        <v>104</v>
      </c>
      <c r="L370">
        <v>31</v>
      </c>
      <c r="M370">
        <v>230</v>
      </c>
      <c r="N370">
        <v>1002</v>
      </c>
      <c r="O370">
        <v>3086</v>
      </c>
      <c r="P370" t="str">
        <f t="shared" si="31"/>
        <v>Valid</v>
      </c>
      <c r="Q370" t="str">
        <f t="shared" si="25"/>
        <v>weekends</v>
      </c>
      <c r="R370" t="str" cm="1">
        <f t="array" ref="R370">_xlfn.IFS(
N370=MAX(K370,L370,M370,N370),"Sedentary",M370
=MAX(K370,L370,M370,N370),"Lightly Active",
L370=MAX(K370,L370,M370,N370),"Fairly Active",
K370=MAX(K370,L370,M370,N370),"Very Active"
)</f>
        <v>Sedentary</v>
      </c>
      <c r="S370" t="str">
        <f t="shared" si="26"/>
        <v>Sedentary</v>
      </c>
    </row>
    <row r="371" spans="1:19" x14ac:dyDescent="0.3">
      <c r="A371">
        <v>7007744171</v>
      </c>
      <c r="B371" s="1">
        <v>42464</v>
      </c>
      <c r="C371">
        <v>15266</v>
      </c>
      <c r="D371">
        <v>11.3999996185303</v>
      </c>
      <c r="E371">
        <v>10.210000038146999</v>
      </c>
      <c r="F371">
        <v>5.1898498535156303</v>
      </c>
      <c r="G371">
        <v>5.8000001907348597</v>
      </c>
      <c r="H371">
        <v>0.75999999046325695</v>
      </c>
      <c r="I371">
        <v>4.78999996185303</v>
      </c>
      <c r="J371">
        <v>5.0000000745058101E-2</v>
      </c>
      <c r="K371">
        <v>70</v>
      </c>
      <c r="L371">
        <v>21</v>
      </c>
      <c r="M371">
        <v>292</v>
      </c>
      <c r="N371">
        <v>1057</v>
      </c>
      <c r="O371">
        <v>2886</v>
      </c>
      <c r="P371" t="str">
        <f t="shared" si="31"/>
        <v>Valid</v>
      </c>
      <c r="Q371" t="str">
        <f t="shared" si="25"/>
        <v>weekdays</v>
      </c>
      <c r="R371" t="str" cm="1">
        <f t="array" ref="R371">_xlfn.IFS(
N371=MAX(K371,L371,M371,N371),"Sedentary",M371
=MAX(K371,L371,M371,N371),"Lightly Active",
L371=MAX(K371,L371,M371,N371),"Fairly Active",
K371=MAX(K371,L371,M371,N371),"Very Active"
)</f>
        <v>Sedentary</v>
      </c>
      <c r="S371" t="str">
        <f t="shared" si="26"/>
        <v>Sedentary</v>
      </c>
    </row>
    <row r="372" spans="1:19" x14ac:dyDescent="0.3">
      <c r="A372">
        <v>7007744171</v>
      </c>
      <c r="B372" s="1">
        <v>42465</v>
      </c>
      <c r="C372">
        <v>12084</v>
      </c>
      <c r="D372">
        <v>9.1400003433227504</v>
      </c>
      <c r="E372">
        <v>8.0799999237060494</v>
      </c>
      <c r="F372">
        <v>4.8363800048828098</v>
      </c>
      <c r="G372">
        <v>4.3899998664856001</v>
      </c>
      <c r="H372">
        <v>0.46000000834464999</v>
      </c>
      <c r="I372">
        <v>4.28999996185303</v>
      </c>
      <c r="J372">
        <v>0</v>
      </c>
      <c r="K372">
        <v>50</v>
      </c>
      <c r="L372">
        <v>6</v>
      </c>
      <c r="M372">
        <v>284</v>
      </c>
      <c r="N372">
        <v>1030</v>
      </c>
      <c r="O372">
        <v>2676</v>
      </c>
      <c r="P372" t="str">
        <f t="shared" si="31"/>
        <v>Valid</v>
      </c>
      <c r="Q372" t="str">
        <f t="shared" si="25"/>
        <v>weekdays</v>
      </c>
      <c r="R372" t="str" cm="1">
        <f t="array" ref="R372">_xlfn.IFS(
N372=MAX(K372,L372,M372,N372),"Sedentary",M372
=MAX(K372,L372,M372,N372),"Lightly Active",
L372=MAX(K372,L372,M372,N372),"Fairly Active",
K372=MAX(K372,L372,M372,N372),"Very Active"
)</f>
        <v>Sedentary</v>
      </c>
      <c r="S372" t="str">
        <f t="shared" si="26"/>
        <v>Sedentary</v>
      </c>
    </row>
    <row r="373" spans="1:19" x14ac:dyDescent="0.3">
      <c r="A373">
        <v>7007744171</v>
      </c>
      <c r="B373" s="1">
        <v>42466</v>
      </c>
      <c r="C373">
        <v>13513</v>
      </c>
      <c r="D373">
        <v>10.25</v>
      </c>
      <c r="E373">
        <v>9.0699996948242205</v>
      </c>
      <c r="F373">
        <v>4.8357200622558603</v>
      </c>
      <c r="G373">
        <v>5.3499999046325701</v>
      </c>
      <c r="H373">
        <v>0.33000001311302202</v>
      </c>
      <c r="I373">
        <v>4.5599999427795401</v>
      </c>
      <c r="J373">
        <v>0</v>
      </c>
      <c r="K373">
        <v>64</v>
      </c>
      <c r="L373">
        <v>8</v>
      </c>
      <c r="M373">
        <v>270</v>
      </c>
      <c r="N373">
        <v>1098</v>
      </c>
      <c r="O373">
        <v>2811</v>
      </c>
      <c r="P373" t="str">
        <f t="shared" si="31"/>
        <v>Valid</v>
      </c>
      <c r="Q373" t="str">
        <f t="shared" si="25"/>
        <v>weekdays</v>
      </c>
      <c r="R373" t="str" cm="1">
        <f t="array" ref="R373">_xlfn.IFS(
N373=MAX(K373,L373,M373,N373),"Sedentary",M373
=MAX(K373,L373,M373,N373),"Lightly Active",
L373=MAX(K373,L373,M373,N373),"Fairly Active",
K373=MAX(K373,L373,M373,N373),"Very Active"
)</f>
        <v>Sedentary</v>
      </c>
      <c r="S373" t="str">
        <f t="shared" si="26"/>
        <v>Sedentary</v>
      </c>
    </row>
    <row r="374" spans="1:19" x14ac:dyDescent="0.3">
      <c r="A374">
        <v>7007744171</v>
      </c>
      <c r="B374" s="1">
        <v>42467</v>
      </c>
      <c r="C374">
        <v>14100</v>
      </c>
      <c r="D374">
        <v>10.579999923706101</v>
      </c>
      <c r="E374">
        <v>9.4300003051757795</v>
      </c>
      <c r="F374">
        <v>4.8759899139404297</v>
      </c>
      <c r="G374">
        <v>5.0999999046325701</v>
      </c>
      <c r="H374">
        <v>1.1900000572204601</v>
      </c>
      <c r="I374">
        <v>4.2800002098083496</v>
      </c>
      <c r="J374">
        <v>0</v>
      </c>
      <c r="K374">
        <v>61</v>
      </c>
      <c r="L374">
        <v>33</v>
      </c>
      <c r="M374">
        <v>265</v>
      </c>
      <c r="N374">
        <v>1015</v>
      </c>
      <c r="O374">
        <v>2840</v>
      </c>
      <c r="P374" t="str">
        <f t="shared" si="31"/>
        <v>Valid</v>
      </c>
      <c r="Q374" t="str">
        <f t="shared" si="25"/>
        <v>weekdays</v>
      </c>
      <c r="R374" t="str" cm="1">
        <f t="array" ref="R374">_xlfn.IFS(
N374=MAX(K374,L374,M374,N374),"Sedentary",M374
=MAX(K374,L374,M374,N374),"Lightly Active",
L374=MAX(K374,L374,M374,N374),"Fairly Active",
K374=MAX(K374,L374,M374,N374),"Very Active"
)</f>
        <v>Sedentary</v>
      </c>
      <c r="S374" t="str">
        <f t="shared" si="26"/>
        <v>Sedentary</v>
      </c>
    </row>
    <row r="375" spans="1:19" x14ac:dyDescent="0.3">
      <c r="A375">
        <v>7007744171</v>
      </c>
      <c r="B375" s="1">
        <v>42468</v>
      </c>
      <c r="C375">
        <v>12627</v>
      </c>
      <c r="D375">
        <v>9.6499996185302699</v>
      </c>
      <c r="E375">
        <v>8.4499998092651403</v>
      </c>
      <c r="F375">
        <v>4.8423199653625497</v>
      </c>
      <c r="G375">
        <v>4.6999998092651403</v>
      </c>
      <c r="H375">
        <v>0.74000000953674305</v>
      </c>
      <c r="I375">
        <v>4.21000003814697</v>
      </c>
      <c r="J375">
        <v>0</v>
      </c>
      <c r="K375">
        <v>54</v>
      </c>
      <c r="L375">
        <v>22</v>
      </c>
      <c r="M375">
        <v>301</v>
      </c>
      <c r="N375">
        <v>1063</v>
      </c>
      <c r="O375">
        <v>2871</v>
      </c>
      <c r="P375" t="str">
        <f t="shared" si="31"/>
        <v>Valid</v>
      </c>
      <c r="Q375" t="str">
        <f t="shared" si="25"/>
        <v>weekdays</v>
      </c>
      <c r="R375" t="str" cm="1">
        <f t="array" ref="R375">_xlfn.IFS(
N375=MAX(K375,L375,M375,N375),"Sedentary",M375
=MAX(K375,L375,M375,N375),"Lightly Active",
L375=MAX(K375,L375,M375,N375),"Fairly Active",
K375=MAX(K375,L375,M375,N375),"Very Active"
)</f>
        <v>Sedentary</v>
      </c>
      <c r="S375" t="str">
        <f t="shared" si="26"/>
        <v>Sedentary</v>
      </c>
    </row>
    <row r="376" spans="1:19" x14ac:dyDescent="0.3">
      <c r="A376">
        <v>7007744171</v>
      </c>
      <c r="B376" s="1">
        <v>42469</v>
      </c>
      <c r="C376">
        <v>10345</v>
      </c>
      <c r="D376">
        <v>6.9200000762939498</v>
      </c>
      <c r="E376">
        <v>6.9200000762939498</v>
      </c>
      <c r="F376">
        <v>0</v>
      </c>
      <c r="G376">
        <v>7.0000000298023196E-2</v>
      </c>
      <c r="H376">
        <v>0.270000010728836</v>
      </c>
      <c r="I376">
        <v>6.5799999237060502</v>
      </c>
      <c r="J376">
        <v>0</v>
      </c>
      <c r="K376">
        <v>2</v>
      </c>
      <c r="L376">
        <v>6</v>
      </c>
      <c r="M376">
        <v>358</v>
      </c>
      <c r="N376">
        <v>1074</v>
      </c>
      <c r="O376">
        <v>2613</v>
      </c>
      <c r="P376" t="str">
        <f t="shared" si="31"/>
        <v>Valid</v>
      </c>
      <c r="Q376" t="str">
        <f t="shared" si="25"/>
        <v>weekends</v>
      </c>
      <c r="R376" t="str" cm="1">
        <f t="array" ref="R376">_xlfn.IFS(
N376=MAX(K376,L376,M376,N376),"Sedentary",M376
=MAX(K376,L376,M376,N376),"Lightly Active",
L376=MAX(K376,L376,M376,N376),"Fairly Active",
K376=MAX(K376,L376,M376,N376),"Very Active"
)</f>
        <v>Sedentary</v>
      </c>
      <c r="S376" t="str">
        <f t="shared" si="26"/>
        <v>Sedentary</v>
      </c>
    </row>
    <row r="377" spans="1:19" x14ac:dyDescent="0.3">
      <c r="A377">
        <v>7007744171</v>
      </c>
      <c r="B377" s="1">
        <v>42470</v>
      </c>
      <c r="C377">
        <v>10146</v>
      </c>
      <c r="D377">
        <v>6.78999996185303</v>
      </c>
      <c r="E377">
        <v>6.78999996185303</v>
      </c>
      <c r="F377">
        <v>0</v>
      </c>
      <c r="G377">
        <v>7.0000000298023196E-2</v>
      </c>
      <c r="H377">
        <v>0.61000001430511497</v>
      </c>
      <c r="I377">
        <v>6.1100001335143999</v>
      </c>
      <c r="J377">
        <v>0</v>
      </c>
      <c r="K377">
        <v>1</v>
      </c>
      <c r="L377">
        <v>12</v>
      </c>
      <c r="M377">
        <v>397</v>
      </c>
      <c r="N377">
        <v>1030</v>
      </c>
      <c r="O377">
        <v>2700</v>
      </c>
      <c r="P377" t="str">
        <f t="shared" si="31"/>
        <v>Valid</v>
      </c>
      <c r="Q377" t="str">
        <f t="shared" si="25"/>
        <v>weekends</v>
      </c>
      <c r="R377" t="str" cm="1">
        <f t="array" ref="R377">_xlfn.IFS(
N377=MAX(K377,L377,M377,N377),"Sedentary",M377
=MAX(K377,L377,M377,N377),"Lightly Active",
L377=MAX(K377,L377,M377,N377),"Fairly Active",
K377=MAX(K377,L377,M377,N377),"Very Active"
)</f>
        <v>Sedentary</v>
      </c>
      <c r="S377" t="str">
        <f t="shared" si="26"/>
        <v>Sedentary</v>
      </c>
    </row>
    <row r="378" spans="1:19" x14ac:dyDescent="0.3">
      <c r="A378">
        <v>7007744171</v>
      </c>
      <c r="B378" s="1">
        <v>42471</v>
      </c>
      <c r="C378">
        <v>12168</v>
      </c>
      <c r="D378">
        <v>8.1400003433227504</v>
      </c>
      <c r="E378">
        <v>8.1400003433227504</v>
      </c>
      <c r="F378">
        <v>0</v>
      </c>
      <c r="G378">
        <v>1.04999995231628</v>
      </c>
      <c r="H378">
        <v>0.79000002145767201</v>
      </c>
      <c r="I378">
        <v>6.28999996185303</v>
      </c>
      <c r="J378">
        <v>0</v>
      </c>
      <c r="K378">
        <v>18</v>
      </c>
      <c r="L378">
        <v>27</v>
      </c>
      <c r="M378">
        <v>375</v>
      </c>
      <c r="N378">
        <v>1020</v>
      </c>
      <c r="O378">
        <v>2871</v>
      </c>
      <c r="P378" t="str">
        <f t="shared" si="31"/>
        <v>Valid</v>
      </c>
      <c r="Q378" t="str">
        <f t="shared" si="25"/>
        <v>weekdays</v>
      </c>
      <c r="R378" t="str" cm="1">
        <f t="array" ref="R378">_xlfn.IFS(
N378=MAX(K378,L378,M378,N378),"Sedentary",M378
=MAX(K378,L378,M378,N378),"Lightly Active",
L378=MAX(K378,L378,M378,N378),"Fairly Active",
K378=MAX(K378,L378,M378,N378),"Very Active"
)</f>
        <v>Sedentary</v>
      </c>
      <c r="S378" t="str">
        <f t="shared" si="26"/>
        <v>Sedentary</v>
      </c>
    </row>
    <row r="379" spans="1:19" x14ac:dyDescent="0.3">
      <c r="A379">
        <v>7007744171</v>
      </c>
      <c r="B379" s="1">
        <v>42472</v>
      </c>
      <c r="C379">
        <v>7413</v>
      </c>
      <c r="D379">
        <v>5.7699999809265101</v>
      </c>
      <c r="E379">
        <v>4.96000003814697</v>
      </c>
      <c r="F379">
        <v>4.8697829246520996</v>
      </c>
      <c r="G379">
        <v>4.5</v>
      </c>
      <c r="H379">
        <v>0.34000000357627902</v>
      </c>
      <c r="I379">
        <v>0.93999999761581399</v>
      </c>
      <c r="J379">
        <v>0</v>
      </c>
      <c r="K379">
        <v>53</v>
      </c>
      <c r="L379">
        <v>6</v>
      </c>
      <c r="M379">
        <v>43</v>
      </c>
      <c r="N379">
        <v>405</v>
      </c>
      <c r="O379">
        <v>1023</v>
      </c>
      <c r="P379" t="str">
        <f t="shared" si="31"/>
        <v>Valid</v>
      </c>
      <c r="Q379" t="str">
        <f t="shared" si="25"/>
        <v>weekdays</v>
      </c>
      <c r="R379" t="str" cm="1">
        <f t="array" ref="R379">_xlfn.IFS(
N379=MAX(K379,L379,M379,N379),"Sedentary",M379
=MAX(K379,L379,M379,N379),"Lightly Active",
L379=MAX(K379,L379,M379,N379),"Fairly Active",
K379=MAX(K379,L379,M379,N379),"Very Active"
)</f>
        <v>Sedentary</v>
      </c>
      <c r="S379" t="str">
        <f t="shared" si="26"/>
        <v>Sedentary</v>
      </c>
    </row>
    <row r="380" spans="1:19" x14ac:dyDescent="0.3">
      <c r="A380">
        <v>7086361926</v>
      </c>
      <c r="B380" s="1">
        <v>42461</v>
      </c>
      <c r="C380">
        <v>11463</v>
      </c>
      <c r="D380">
        <v>7.6700000762939498</v>
      </c>
      <c r="E380">
        <v>7.6700000762939498</v>
      </c>
      <c r="F380">
        <v>0</v>
      </c>
      <c r="G380">
        <v>2.8299999237060498</v>
      </c>
      <c r="H380">
        <v>1.8899999856948899</v>
      </c>
      <c r="I380">
        <v>2.9300000667571999</v>
      </c>
      <c r="J380">
        <v>0</v>
      </c>
      <c r="K380">
        <v>38</v>
      </c>
      <c r="L380">
        <v>30</v>
      </c>
      <c r="M380">
        <v>154</v>
      </c>
      <c r="N380">
        <v>777</v>
      </c>
      <c r="O380">
        <v>2496</v>
      </c>
      <c r="P380" t="str">
        <f t="shared" si="31"/>
        <v>Valid</v>
      </c>
      <c r="Q380" t="str">
        <f t="shared" si="25"/>
        <v>weekdays</v>
      </c>
      <c r="R380" t="str" cm="1">
        <f t="array" ref="R380">_xlfn.IFS(
N380=MAX(K380,L380,M380,N380),"Sedentary",M380
=MAX(K380,L380,M380,N380),"Lightly Active",
L380=MAX(K380,L380,M380,N380),"Fairly Active",
K380=MAX(K380,L380,M380,N380),"Very Active"
)</f>
        <v>Sedentary</v>
      </c>
      <c r="S380" t="str">
        <f t="shared" si="26"/>
        <v>Sedentary</v>
      </c>
    </row>
    <row r="381" spans="1:19" x14ac:dyDescent="0.3">
      <c r="A381">
        <v>7086361926</v>
      </c>
      <c r="B381" s="1">
        <v>42462</v>
      </c>
      <c r="C381">
        <v>87</v>
      </c>
      <c r="D381">
        <v>1.9999999552965199E-2</v>
      </c>
      <c r="E381">
        <v>1.9999999552965199E-2</v>
      </c>
      <c r="F381">
        <v>0</v>
      </c>
      <c r="G381">
        <v>0</v>
      </c>
      <c r="H381">
        <v>0</v>
      </c>
      <c r="I381">
        <v>9.9999997764825804E-3</v>
      </c>
      <c r="J381">
        <v>0</v>
      </c>
      <c r="K381">
        <v>0</v>
      </c>
      <c r="L381">
        <v>0</v>
      </c>
      <c r="M381">
        <v>2</v>
      </c>
      <c r="N381">
        <v>872</v>
      </c>
      <c r="O381">
        <v>1641</v>
      </c>
      <c r="P381" t="str">
        <f t="shared" si="31"/>
        <v>Valid</v>
      </c>
      <c r="Q381" t="str">
        <f t="shared" si="25"/>
        <v>weekends</v>
      </c>
      <c r="R381" t="str" cm="1">
        <f t="array" ref="R381">_xlfn.IFS(
N381=MAX(K381,L381,M381,N381),"Sedentary",M381
=MAX(K381,L381,M381,N381),"Lightly Active",
L381=MAX(K381,L381,M381,N381),"Fairly Active",
K381=MAX(K381,L381,M381,N381),"Very Active"
)</f>
        <v>Sedentary</v>
      </c>
      <c r="S381" t="str">
        <f t="shared" si="26"/>
        <v>Sedentary</v>
      </c>
    </row>
    <row r="382" spans="1:19" x14ac:dyDescent="0.3">
      <c r="A382">
        <v>7086361926</v>
      </c>
      <c r="B382" s="1">
        <v>42463</v>
      </c>
      <c r="C382">
        <v>1949</v>
      </c>
      <c r="D382">
        <v>1.3099999427795399</v>
      </c>
      <c r="E382">
        <v>1.3099999427795399</v>
      </c>
      <c r="F382">
        <v>0</v>
      </c>
      <c r="G382">
        <v>0.230000004172325</v>
      </c>
      <c r="H382">
        <v>0.34999999403953602</v>
      </c>
      <c r="I382">
        <v>0.730000019073486</v>
      </c>
      <c r="J382">
        <v>0</v>
      </c>
      <c r="K382">
        <v>3</v>
      </c>
      <c r="L382">
        <v>6</v>
      </c>
      <c r="M382">
        <v>27</v>
      </c>
      <c r="N382">
        <v>1404</v>
      </c>
      <c r="O382">
        <v>1794</v>
      </c>
      <c r="P382" t="str">
        <f t="shared" si="31"/>
        <v>Valid</v>
      </c>
      <c r="Q382" t="str">
        <f t="shared" si="25"/>
        <v>weekends</v>
      </c>
      <c r="R382" t="str" cm="1">
        <f t="array" ref="R382">_xlfn.IFS(
N382=MAX(K382,L382,M382,N382),"Sedentary",M382
=MAX(K382,L382,M382,N382),"Lightly Active",
L382=MAX(K382,L382,M382,N382),"Fairly Active",
K382=MAX(K382,L382,M382,N382),"Very Active"
)</f>
        <v>Sedentary</v>
      </c>
      <c r="S382" t="str">
        <f t="shared" si="26"/>
        <v>Sedentary</v>
      </c>
    </row>
    <row r="383" spans="1:19" x14ac:dyDescent="0.3">
      <c r="A383">
        <v>7086361926</v>
      </c>
      <c r="B383" s="1">
        <v>42464</v>
      </c>
      <c r="C383">
        <v>6101</v>
      </c>
      <c r="D383">
        <v>3.8699998855590798</v>
      </c>
      <c r="E383">
        <v>3.8699998855590798</v>
      </c>
      <c r="F383">
        <v>0</v>
      </c>
      <c r="G383">
        <v>0.52999997138977095</v>
      </c>
      <c r="H383">
        <v>0.230000004172325</v>
      </c>
      <c r="I383">
        <v>3.0999999046325701</v>
      </c>
      <c r="J383">
        <v>0</v>
      </c>
      <c r="K383">
        <v>31</v>
      </c>
      <c r="L383">
        <v>24</v>
      </c>
      <c r="M383">
        <v>138</v>
      </c>
      <c r="N383">
        <v>1247</v>
      </c>
      <c r="O383">
        <v>2421</v>
      </c>
      <c r="P383" t="str">
        <f t="shared" si="31"/>
        <v>Valid</v>
      </c>
      <c r="Q383" t="str">
        <f t="shared" si="25"/>
        <v>weekdays</v>
      </c>
      <c r="R383" t="str" cm="1">
        <f t="array" ref="R383">_xlfn.IFS(
N383=MAX(K383,L383,M383,N383),"Sedentary",M383
=MAX(K383,L383,M383,N383),"Lightly Active",
L383=MAX(K383,L383,M383,N383),"Fairly Active",
K383=MAX(K383,L383,M383,N383),"Very Active"
)</f>
        <v>Sedentary</v>
      </c>
      <c r="S383" t="str">
        <f t="shared" si="26"/>
        <v>Sedentary</v>
      </c>
    </row>
    <row r="384" spans="1:19" x14ac:dyDescent="0.3">
      <c r="A384">
        <v>7086361926</v>
      </c>
      <c r="B384" s="1">
        <v>42465</v>
      </c>
      <c r="C384">
        <v>7478</v>
      </c>
      <c r="D384">
        <v>4.9899997711181596</v>
      </c>
      <c r="E384">
        <v>4.9899997711181596</v>
      </c>
      <c r="F384">
        <v>0</v>
      </c>
      <c r="G384">
        <v>1.79999995231628</v>
      </c>
      <c r="H384">
        <v>0.52999997138977095</v>
      </c>
      <c r="I384">
        <v>2.6099998950958301</v>
      </c>
      <c r="J384">
        <v>2.9999999329447701E-2</v>
      </c>
      <c r="K384">
        <v>25</v>
      </c>
      <c r="L384">
        <v>33</v>
      </c>
      <c r="M384">
        <v>132</v>
      </c>
      <c r="N384">
        <v>1159</v>
      </c>
      <c r="O384">
        <v>2439</v>
      </c>
      <c r="P384" t="str">
        <f t="shared" si="31"/>
        <v>Valid</v>
      </c>
      <c r="Q384" t="str">
        <f t="shared" si="25"/>
        <v>weekdays</v>
      </c>
      <c r="R384" t="str" cm="1">
        <f t="array" ref="R384">_xlfn.IFS(
N384=MAX(K384,L384,M384,N384),"Sedentary",M384
=MAX(K384,L384,M384,N384),"Lightly Active",
L384=MAX(K384,L384,M384,N384),"Fairly Active",
K384=MAX(K384,L384,M384,N384),"Very Active"
)</f>
        <v>Sedentary</v>
      </c>
      <c r="S384" t="str">
        <f t="shared" si="26"/>
        <v>Sedentary</v>
      </c>
    </row>
    <row r="385" spans="1:19" x14ac:dyDescent="0.3">
      <c r="A385">
        <v>7086361926</v>
      </c>
      <c r="B385" s="1">
        <v>42466</v>
      </c>
      <c r="C385">
        <v>7352</v>
      </c>
      <c r="D385">
        <v>4.7300000190734899</v>
      </c>
      <c r="E385">
        <v>4.7300000190734899</v>
      </c>
      <c r="F385">
        <v>0</v>
      </c>
      <c r="G385">
        <v>1.4099999666214</v>
      </c>
      <c r="H385">
        <v>0.77999997138977095</v>
      </c>
      <c r="I385">
        <v>2.5299999713897701</v>
      </c>
      <c r="J385">
        <v>0</v>
      </c>
      <c r="K385">
        <v>19</v>
      </c>
      <c r="L385">
        <v>14</v>
      </c>
      <c r="M385">
        <v>124</v>
      </c>
      <c r="N385">
        <v>814</v>
      </c>
      <c r="O385">
        <v>2233</v>
      </c>
      <c r="P385" t="str">
        <f t="shared" si="31"/>
        <v>Valid</v>
      </c>
      <c r="Q385" t="str">
        <f t="shared" si="25"/>
        <v>weekdays</v>
      </c>
      <c r="R385" t="str" cm="1">
        <f t="array" ref="R385">_xlfn.IFS(
N385=MAX(K385,L385,M385,N385),"Sedentary",M385
=MAX(K385,L385,M385,N385),"Lightly Active",
L385=MAX(K385,L385,M385,N385),"Fairly Active",
K385=MAX(K385,L385,M385,N385),"Very Active"
)</f>
        <v>Sedentary</v>
      </c>
      <c r="S385" t="str">
        <f t="shared" si="26"/>
        <v>Sedentary</v>
      </c>
    </row>
    <row r="386" spans="1:19" x14ac:dyDescent="0.3">
      <c r="A386">
        <v>7086361926</v>
      </c>
      <c r="B386" s="1">
        <v>42467</v>
      </c>
      <c r="C386">
        <v>14604</v>
      </c>
      <c r="D386">
        <v>10.819999694824199</v>
      </c>
      <c r="E386">
        <v>10.819999694824199</v>
      </c>
      <c r="F386">
        <v>0</v>
      </c>
      <c r="G386">
        <v>7.2300000190734899</v>
      </c>
      <c r="H386">
        <v>1.12000000476837</v>
      </c>
      <c r="I386">
        <v>2.4300000667571999</v>
      </c>
      <c r="J386">
        <v>2.9999999329447701E-2</v>
      </c>
      <c r="K386">
        <v>76</v>
      </c>
      <c r="L386">
        <v>30</v>
      </c>
      <c r="M386">
        <v>127</v>
      </c>
      <c r="N386">
        <v>695</v>
      </c>
      <c r="O386">
        <v>2862</v>
      </c>
      <c r="P386" t="str">
        <f t="shared" si="31"/>
        <v>Valid</v>
      </c>
      <c r="Q386" t="str">
        <f t="shared" si="25"/>
        <v>weekdays</v>
      </c>
      <c r="R386" t="str" cm="1">
        <f t="array" ref="R386">_xlfn.IFS(
N386=MAX(K386,L386,M386,N386),"Sedentary",M386
=MAX(K386,L386,M386,N386),"Lightly Active",
L386=MAX(K386,L386,M386,N386),"Fairly Active",
K386=MAX(K386,L386,M386,N386),"Very Active"
)</f>
        <v>Sedentary</v>
      </c>
      <c r="S386" t="str">
        <f t="shared" si="26"/>
        <v>Sedentary</v>
      </c>
    </row>
    <row r="387" spans="1:19" x14ac:dyDescent="0.3">
      <c r="A387">
        <v>7086361926</v>
      </c>
      <c r="B387" s="1">
        <v>42468</v>
      </c>
      <c r="C387">
        <v>9634</v>
      </c>
      <c r="D387">
        <v>6.5199999809265101</v>
      </c>
      <c r="E387">
        <v>6.5199999809265101</v>
      </c>
      <c r="F387">
        <v>0</v>
      </c>
      <c r="G387">
        <v>2.5</v>
      </c>
      <c r="H387">
        <v>1.3999999761581401</v>
      </c>
      <c r="I387">
        <v>2.5899999141693102</v>
      </c>
      <c r="J387">
        <v>0</v>
      </c>
      <c r="K387">
        <v>50</v>
      </c>
      <c r="L387">
        <v>48</v>
      </c>
      <c r="M387">
        <v>140</v>
      </c>
      <c r="N387">
        <v>797</v>
      </c>
      <c r="O387">
        <v>2752</v>
      </c>
      <c r="P387" t="str">
        <f t="shared" si="31"/>
        <v>Valid</v>
      </c>
      <c r="Q387" t="str">
        <f t="shared" ref="Q387:Q450" si="32">IF(WEEKDAY(B387,2)&gt;5,"weekends","weekdays")</f>
        <v>weekdays</v>
      </c>
      <c r="R387" t="str" cm="1">
        <f t="array" ref="R387">_xlfn.IFS(
N387=MAX(K387,L387,M387,N387),"Sedentary",M387
=MAX(K387,L387,M387,N387),"Lightly Active",
L387=MAX(K387,L387,M387,N387),"Fairly Active",
K387=MAX(K387,L387,M387,N387),"Very Active"
)</f>
        <v>Sedentary</v>
      </c>
      <c r="S387" t="str">
        <f t="shared" ref="S387:S450" si="33">IF(N388&gt;(K388+L388+M388),"Sedentary","Active")</f>
        <v>Sedentary</v>
      </c>
    </row>
    <row r="388" spans="1:19" x14ac:dyDescent="0.3">
      <c r="A388">
        <v>7086361926</v>
      </c>
      <c r="B388" s="1">
        <v>42469</v>
      </c>
      <c r="C388">
        <v>7338</v>
      </c>
      <c r="D388">
        <v>4.6700000762939498</v>
      </c>
      <c r="E388">
        <v>4.6700000762939498</v>
      </c>
      <c r="F388">
        <v>0</v>
      </c>
      <c r="G388">
        <v>1.08000004291534</v>
      </c>
      <c r="H388">
        <v>0.129999995231628</v>
      </c>
      <c r="I388">
        <v>3.46000003814697</v>
      </c>
      <c r="J388">
        <v>0</v>
      </c>
      <c r="K388">
        <v>27</v>
      </c>
      <c r="L388">
        <v>5</v>
      </c>
      <c r="M388">
        <v>204</v>
      </c>
      <c r="N388">
        <v>717</v>
      </c>
      <c r="O388">
        <v>2519</v>
      </c>
      <c r="P388" t="str">
        <f t="shared" si="31"/>
        <v>Valid</v>
      </c>
      <c r="Q388" t="str">
        <f t="shared" si="32"/>
        <v>weekends</v>
      </c>
      <c r="R388" t="str" cm="1">
        <f t="array" ref="R388">_xlfn.IFS(
N388=MAX(K388,L388,M388,N388),"Sedentary",M388
=MAX(K388,L388,M388,N388),"Lightly Active",
L388=MAX(K388,L388,M388,N388),"Fairly Active",
K388=MAX(K388,L388,M388,N388),"Very Active"
)</f>
        <v>Sedentary</v>
      </c>
      <c r="S388" t="str">
        <f t="shared" si="33"/>
        <v>Sedentary</v>
      </c>
    </row>
    <row r="389" spans="1:19" x14ac:dyDescent="0.3">
      <c r="A389">
        <v>7086361926</v>
      </c>
      <c r="B389" s="1">
        <v>42470</v>
      </c>
      <c r="C389">
        <v>569</v>
      </c>
      <c r="D389">
        <v>0.34999999403953602</v>
      </c>
      <c r="E389">
        <v>0.34999999403953602</v>
      </c>
      <c r="F389">
        <v>0</v>
      </c>
      <c r="G389">
        <v>0</v>
      </c>
      <c r="H389">
        <v>0</v>
      </c>
      <c r="I389">
        <v>0.34000000357627902</v>
      </c>
      <c r="J389">
        <v>0</v>
      </c>
      <c r="K389">
        <v>0</v>
      </c>
      <c r="L389">
        <v>0</v>
      </c>
      <c r="M389">
        <v>27</v>
      </c>
      <c r="N389">
        <v>1368</v>
      </c>
      <c r="O389">
        <v>1799</v>
      </c>
      <c r="P389" t="str">
        <f t="shared" si="31"/>
        <v>Valid</v>
      </c>
      <c r="Q389" t="str">
        <f t="shared" si="32"/>
        <v>weekends</v>
      </c>
      <c r="R389" t="str" cm="1">
        <f t="array" ref="R389">_xlfn.IFS(
N389=MAX(K389,L389,M389,N389),"Sedentary",M389
=MAX(K389,L389,M389,N389),"Lightly Active",
L389=MAX(K389,L389,M389,N389),"Fairly Active",
K389=MAX(K389,L389,M389,N389),"Very Active"
)</f>
        <v>Sedentary</v>
      </c>
      <c r="S389" t="str">
        <f t="shared" si="33"/>
        <v>Sedentary</v>
      </c>
    </row>
    <row r="390" spans="1:19" x14ac:dyDescent="0.3">
      <c r="A390">
        <v>7086361926</v>
      </c>
      <c r="B390" s="1">
        <v>42471</v>
      </c>
      <c r="C390">
        <v>6242</v>
      </c>
      <c r="D390">
        <v>3.9200000762939502</v>
      </c>
      <c r="E390">
        <v>3.9200000762939502</v>
      </c>
      <c r="F390">
        <v>0</v>
      </c>
      <c r="G390">
        <v>0.74000000953674305</v>
      </c>
      <c r="H390">
        <v>0.230000004172325</v>
      </c>
      <c r="I390">
        <v>2.9300000667571999</v>
      </c>
      <c r="J390">
        <v>0</v>
      </c>
      <c r="K390">
        <v>46</v>
      </c>
      <c r="L390">
        <v>22</v>
      </c>
      <c r="M390">
        <v>126</v>
      </c>
      <c r="N390">
        <v>741</v>
      </c>
      <c r="O390">
        <v>2543</v>
      </c>
      <c r="P390" t="str">
        <f t="shared" si="31"/>
        <v>Valid</v>
      </c>
      <c r="Q390" t="str">
        <f t="shared" si="32"/>
        <v>weekdays</v>
      </c>
      <c r="R390" t="str" cm="1">
        <f t="array" ref="R390">_xlfn.IFS(
N390=MAX(K390,L390,M390,N390),"Sedentary",M390
=MAX(K390,L390,M390,N390),"Lightly Active",
L390=MAX(K390,L390,M390,N390),"Fairly Active",
K390=MAX(K390,L390,M390,N390),"Very Active"
)</f>
        <v>Sedentary</v>
      </c>
      <c r="S390" t="str">
        <f t="shared" si="33"/>
        <v>Sedentary</v>
      </c>
    </row>
    <row r="391" spans="1:19" x14ac:dyDescent="0.3">
      <c r="A391">
        <v>7086361926</v>
      </c>
      <c r="B391" s="1">
        <v>42472</v>
      </c>
      <c r="C391">
        <v>430</v>
      </c>
      <c r="D391">
        <v>0.259999990463257</v>
      </c>
      <c r="E391">
        <v>0.259999990463257</v>
      </c>
      <c r="F391">
        <v>0</v>
      </c>
      <c r="G391">
        <v>0</v>
      </c>
      <c r="H391">
        <v>0</v>
      </c>
      <c r="I391">
        <v>0.259999990463257</v>
      </c>
      <c r="J391">
        <v>0</v>
      </c>
      <c r="K391">
        <v>0</v>
      </c>
      <c r="L391">
        <v>0</v>
      </c>
      <c r="M391">
        <v>14</v>
      </c>
      <c r="N391">
        <v>75</v>
      </c>
      <c r="O391">
        <v>625</v>
      </c>
      <c r="P391" t="str">
        <f t="shared" si="31"/>
        <v>Valid</v>
      </c>
      <c r="Q391" t="str">
        <f t="shared" si="32"/>
        <v>weekdays</v>
      </c>
      <c r="R391" t="str" cm="1">
        <f t="array" ref="R391">_xlfn.IFS(
N391=MAX(K391,L391,M391,N391),"Sedentary",M391
=MAX(K391,L391,M391,N391),"Lightly Active",
L391=MAX(K391,L391,M391,N391),"Fairly Active",
K391=MAX(K391,L391,M391,N391),"Very Active"
)</f>
        <v>Sedentary</v>
      </c>
      <c r="S391" t="str">
        <f t="shared" si="33"/>
        <v>Sedentary</v>
      </c>
    </row>
    <row r="392" spans="1:19" x14ac:dyDescent="0.3">
      <c r="A392">
        <v>8053475328</v>
      </c>
      <c r="B392" s="1">
        <v>42462</v>
      </c>
      <c r="C392">
        <v>20188</v>
      </c>
      <c r="D392">
        <v>15.6199998855591</v>
      </c>
      <c r="E392">
        <v>15.6199998855591</v>
      </c>
      <c r="F392">
        <v>0</v>
      </c>
      <c r="G392">
        <v>12.060000419616699</v>
      </c>
      <c r="H392">
        <v>0.85000002384185802</v>
      </c>
      <c r="I392">
        <v>2.71000003814697</v>
      </c>
      <c r="J392">
        <v>0</v>
      </c>
      <c r="K392">
        <v>124</v>
      </c>
      <c r="L392">
        <v>19</v>
      </c>
      <c r="M392">
        <v>172</v>
      </c>
      <c r="N392">
        <v>1125</v>
      </c>
      <c r="O392">
        <v>3377</v>
      </c>
      <c r="P392" t="str">
        <f t="shared" si="31"/>
        <v>Valid</v>
      </c>
      <c r="Q392" t="str">
        <f t="shared" si="32"/>
        <v>weekends</v>
      </c>
      <c r="R392" t="str" cm="1">
        <f t="array" ref="R392">_xlfn.IFS(
N392=MAX(K392,L392,M392,N392),"Sedentary",M392
=MAX(K392,L392,M392,N392),"Lightly Active",
L392=MAX(K392,L392,M392,N392),"Fairly Active",
K392=MAX(K392,L392,M392,N392),"Very Active"
)</f>
        <v>Sedentary</v>
      </c>
      <c r="S392" t="str">
        <f t="shared" si="33"/>
        <v>Sedentary</v>
      </c>
    </row>
    <row r="393" spans="1:19" x14ac:dyDescent="0.3">
      <c r="A393">
        <v>8053475328</v>
      </c>
      <c r="B393" s="1">
        <v>42463</v>
      </c>
      <c r="C393">
        <v>25701</v>
      </c>
      <c r="D393">
        <v>20.139999389648398</v>
      </c>
      <c r="E393">
        <v>20.139999389648398</v>
      </c>
      <c r="F393">
        <v>0</v>
      </c>
      <c r="G393">
        <v>16.819999694824201</v>
      </c>
      <c r="H393">
        <v>1.62999999523163</v>
      </c>
      <c r="I393">
        <v>1.6900000572204601</v>
      </c>
      <c r="J393">
        <v>0</v>
      </c>
      <c r="K393">
        <v>165</v>
      </c>
      <c r="L393">
        <v>36</v>
      </c>
      <c r="M393">
        <v>97</v>
      </c>
      <c r="N393">
        <v>1142</v>
      </c>
      <c r="O393">
        <v>3697</v>
      </c>
      <c r="P393" t="str">
        <f t="shared" si="31"/>
        <v>Valid</v>
      </c>
      <c r="Q393" t="str">
        <f t="shared" si="32"/>
        <v>weekends</v>
      </c>
      <c r="R393" t="str" cm="1">
        <f t="array" ref="R393">_xlfn.IFS(
N393=MAX(K393,L393,M393,N393),"Sedentary",M393
=MAX(K393,L393,M393,N393),"Lightly Active",
L393=MAX(K393,L393,M393,N393),"Fairly Active",
K393=MAX(K393,L393,M393,N393),"Very Active"
)</f>
        <v>Sedentary</v>
      </c>
      <c r="S393" t="str">
        <f t="shared" si="33"/>
        <v>Sedentary</v>
      </c>
    </row>
    <row r="394" spans="1:19" x14ac:dyDescent="0.3">
      <c r="A394">
        <v>8053475328</v>
      </c>
      <c r="B394" s="1">
        <v>42464</v>
      </c>
      <c r="C394">
        <v>17395</v>
      </c>
      <c r="D394">
        <v>13.210000038146999</v>
      </c>
      <c r="E394">
        <v>13.210000038146999</v>
      </c>
      <c r="F394">
        <v>0</v>
      </c>
      <c r="G394">
        <v>9.6700000762939506</v>
      </c>
      <c r="H394">
        <v>0.18000000715255701</v>
      </c>
      <c r="I394">
        <v>3.3499999046325701</v>
      </c>
      <c r="J394">
        <v>0</v>
      </c>
      <c r="K394">
        <v>100</v>
      </c>
      <c r="L394">
        <v>4</v>
      </c>
      <c r="M394">
        <v>213</v>
      </c>
      <c r="N394">
        <v>1123</v>
      </c>
      <c r="O394">
        <v>3209</v>
      </c>
      <c r="P394" t="str">
        <f t="shared" si="31"/>
        <v>Valid</v>
      </c>
      <c r="Q394" t="str">
        <f t="shared" si="32"/>
        <v>weekdays</v>
      </c>
      <c r="R394" t="str" cm="1">
        <f t="array" ref="R394">_xlfn.IFS(
N394=MAX(K394,L394,M394,N394),"Sedentary",M394
=MAX(K394,L394,M394,N394),"Lightly Active",
L394=MAX(K394,L394,M394,N394),"Fairly Active",
K394=MAX(K394,L394,M394,N394),"Very Active"
)</f>
        <v>Sedentary</v>
      </c>
      <c r="S394" t="str">
        <f t="shared" si="33"/>
        <v>Sedentary</v>
      </c>
    </row>
    <row r="395" spans="1:19" x14ac:dyDescent="0.3">
      <c r="A395">
        <v>8053475328</v>
      </c>
      <c r="B395" s="1">
        <v>42465</v>
      </c>
      <c r="C395">
        <v>17167</v>
      </c>
      <c r="D395">
        <v>13.4099998474121</v>
      </c>
      <c r="E395">
        <v>13.4099998474121</v>
      </c>
      <c r="F395">
        <v>0</v>
      </c>
      <c r="G395">
        <v>9.9600000381469709</v>
      </c>
      <c r="H395">
        <v>0.31000000238418601</v>
      </c>
      <c r="I395">
        <v>3.1400001049041699</v>
      </c>
      <c r="J395">
        <v>0</v>
      </c>
      <c r="K395">
        <v>98</v>
      </c>
      <c r="L395">
        <v>8</v>
      </c>
      <c r="M395">
        <v>184</v>
      </c>
      <c r="N395">
        <v>1150</v>
      </c>
      <c r="O395">
        <v>3167</v>
      </c>
      <c r="P395" t="str">
        <f t="shared" si="31"/>
        <v>Valid</v>
      </c>
      <c r="Q395" t="str">
        <f t="shared" si="32"/>
        <v>weekdays</v>
      </c>
      <c r="R395" t="str" cm="1">
        <f t="array" ref="R395">_xlfn.IFS(
N395=MAX(K395,L395,M395,N395),"Sedentary",M395
=MAX(K395,L395,M395,N395),"Lightly Active",
L395=MAX(K395,L395,M395,N395),"Fairly Active",
K395=MAX(K395,L395,M395,N395),"Very Active"
)</f>
        <v>Sedentary</v>
      </c>
      <c r="S395" t="str">
        <f t="shared" si="33"/>
        <v>Sedentary</v>
      </c>
    </row>
    <row r="396" spans="1:19" x14ac:dyDescent="0.3">
      <c r="A396">
        <v>8053475328</v>
      </c>
      <c r="B396" s="1">
        <v>42466</v>
      </c>
      <c r="C396">
        <v>16435</v>
      </c>
      <c r="D396">
        <v>12.420000076293899</v>
      </c>
      <c r="E396">
        <v>12.420000076293899</v>
      </c>
      <c r="F396">
        <v>0</v>
      </c>
      <c r="G396">
        <v>8.9600000381469709</v>
      </c>
      <c r="H396">
        <v>0.55000001192092896</v>
      </c>
      <c r="I396">
        <v>2.9100000858306898</v>
      </c>
      <c r="J396">
        <v>0</v>
      </c>
      <c r="K396">
        <v>100</v>
      </c>
      <c r="L396">
        <v>14</v>
      </c>
      <c r="M396">
        <v>191</v>
      </c>
      <c r="N396">
        <v>1135</v>
      </c>
      <c r="O396">
        <v>3122</v>
      </c>
      <c r="P396" t="str">
        <f t="shared" si="31"/>
        <v>Valid</v>
      </c>
      <c r="Q396" t="str">
        <f t="shared" si="32"/>
        <v>weekdays</v>
      </c>
      <c r="R396" t="str" cm="1">
        <f t="array" ref="R396">_xlfn.IFS(
N396=MAX(K396,L396,M396,N396),"Sedentary",M396
=MAX(K396,L396,M396,N396),"Lightly Active",
L396=MAX(K396,L396,M396,N396),"Fairly Active",
K396=MAX(K396,L396,M396,N396),"Very Active"
)</f>
        <v>Sedentary</v>
      </c>
      <c r="S396" t="str">
        <f t="shared" si="33"/>
        <v>Sedentary</v>
      </c>
    </row>
    <row r="397" spans="1:19" x14ac:dyDescent="0.3">
      <c r="A397">
        <v>8053475328</v>
      </c>
      <c r="B397" s="1">
        <v>42467</v>
      </c>
      <c r="C397">
        <v>17078</v>
      </c>
      <c r="D397">
        <v>13.199999809265099</v>
      </c>
      <c r="E397">
        <v>13.199999809265099</v>
      </c>
      <c r="F397">
        <v>0</v>
      </c>
      <c r="G397">
        <v>9.9700002670288104</v>
      </c>
      <c r="H397">
        <v>0.239999994635582</v>
      </c>
      <c r="I397">
        <v>2.9900000095367401</v>
      </c>
      <c r="J397">
        <v>0</v>
      </c>
      <c r="K397">
        <v>101</v>
      </c>
      <c r="L397">
        <v>6</v>
      </c>
      <c r="M397">
        <v>190</v>
      </c>
      <c r="N397">
        <v>1143</v>
      </c>
      <c r="O397">
        <v>3176</v>
      </c>
      <c r="P397" t="str">
        <f t="shared" si="31"/>
        <v>Valid</v>
      </c>
      <c r="Q397" t="str">
        <f t="shared" si="32"/>
        <v>weekdays</v>
      </c>
      <c r="R397" t="str" cm="1">
        <f t="array" ref="R397">_xlfn.IFS(
N397=MAX(K397,L397,M397,N397),"Sedentary",M397
=MAX(K397,L397,M397,N397),"Lightly Active",
L397=MAX(K397,L397,M397,N397),"Fairly Active",
K397=MAX(K397,L397,M397,N397),"Very Active"
)</f>
        <v>Sedentary</v>
      </c>
      <c r="S397" t="str">
        <f t="shared" si="33"/>
        <v>Sedentary</v>
      </c>
    </row>
    <row r="398" spans="1:19" x14ac:dyDescent="0.3">
      <c r="A398">
        <v>8053475328</v>
      </c>
      <c r="B398" s="1">
        <v>42468</v>
      </c>
      <c r="C398">
        <v>11693</v>
      </c>
      <c r="D398">
        <v>9.5399999618530291</v>
      </c>
      <c r="E398">
        <v>9.5399999618530291</v>
      </c>
      <c r="F398">
        <v>0</v>
      </c>
      <c r="G398">
        <v>6.7699999809265101</v>
      </c>
      <c r="H398">
        <v>0.259999990463257</v>
      </c>
      <c r="I398">
        <v>2.5</v>
      </c>
      <c r="J398">
        <v>0</v>
      </c>
      <c r="K398">
        <v>60</v>
      </c>
      <c r="L398">
        <v>6</v>
      </c>
      <c r="M398">
        <v>153</v>
      </c>
      <c r="N398">
        <v>1221</v>
      </c>
      <c r="O398">
        <v>2790</v>
      </c>
      <c r="P398" t="str">
        <f t="shared" si="31"/>
        <v>Valid</v>
      </c>
      <c r="Q398" t="str">
        <f t="shared" si="32"/>
        <v>weekdays</v>
      </c>
      <c r="R398" t="str" cm="1">
        <f t="array" ref="R398">_xlfn.IFS(
N398=MAX(K398,L398,M398,N398),"Sedentary",M398
=MAX(K398,L398,M398,N398),"Lightly Active",
L398=MAX(K398,L398,M398,N398),"Fairly Active",
K398=MAX(K398,L398,M398,N398),"Very Active"
)</f>
        <v>Sedentary</v>
      </c>
      <c r="S398" t="str">
        <f t="shared" si="33"/>
        <v>Sedentary</v>
      </c>
    </row>
    <row r="399" spans="1:19" x14ac:dyDescent="0.3">
      <c r="A399">
        <v>8053475328</v>
      </c>
      <c r="B399" s="1">
        <v>42469</v>
      </c>
      <c r="C399">
        <v>11159</v>
      </c>
      <c r="D399">
        <v>9.1400003433227504</v>
      </c>
      <c r="E399">
        <v>9.1400003433227504</v>
      </c>
      <c r="F399">
        <v>0</v>
      </c>
      <c r="G399">
        <v>6.6900000572204599</v>
      </c>
      <c r="H399">
        <v>0.25</v>
      </c>
      <c r="I399">
        <v>2.1900000572204599</v>
      </c>
      <c r="J399">
        <v>0</v>
      </c>
      <c r="K399">
        <v>59</v>
      </c>
      <c r="L399">
        <v>6</v>
      </c>
      <c r="M399">
        <v>120</v>
      </c>
      <c r="N399">
        <v>1255</v>
      </c>
      <c r="O399">
        <v>2715</v>
      </c>
      <c r="P399" t="str">
        <f t="shared" si="31"/>
        <v>Valid</v>
      </c>
      <c r="Q399" t="str">
        <f t="shared" si="32"/>
        <v>weekends</v>
      </c>
      <c r="R399" t="str" cm="1">
        <f t="array" ref="R399">_xlfn.IFS(
N399=MAX(K399,L399,M399,N399),"Sedentary",M399
=MAX(K399,L399,M399,N399),"Lightly Active",
L399=MAX(K399,L399,M399,N399),"Fairly Active",
K399=MAX(K399,L399,M399,N399),"Very Active"
)</f>
        <v>Sedentary</v>
      </c>
      <c r="S399" t="str">
        <f t="shared" si="33"/>
        <v>Sedentary</v>
      </c>
    </row>
    <row r="400" spans="1:19" x14ac:dyDescent="0.3">
      <c r="A400">
        <v>8053475328</v>
      </c>
      <c r="B400" s="1">
        <v>42470</v>
      </c>
      <c r="C400">
        <v>10118</v>
      </c>
      <c r="D400">
        <v>7.7300000190734899</v>
      </c>
      <c r="E400">
        <v>7.7300000190734899</v>
      </c>
      <c r="F400">
        <v>0</v>
      </c>
      <c r="G400">
        <v>3.0499999523162802</v>
      </c>
      <c r="H400">
        <v>0.80000001192092896</v>
      </c>
      <c r="I400">
        <v>3.8800001144409202</v>
      </c>
      <c r="J400">
        <v>0</v>
      </c>
      <c r="K400">
        <v>30</v>
      </c>
      <c r="L400">
        <v>18</v>
      </c>
      <c r="M400">
        <v>207</v>
      </c>
      <c r="N400">
        <v>1185</v>
      </c>
      <c r="O400">
        <v>2684</v>
      </c>
      <c r="P400" t="str">
        <f t="shared" si="31"/>
        <v>Valid</v>
      </c>
      <c r="Q400" t="str">
        <f t="shared" si="32"/>
        <v>weekends</v>
      </c>
      <c r="R400" t="str" cm="1">
        <f t="array" ref="R400">_xlfn.IFS(
N400=MAX(K400,L400,M400,N400),"Sedentary",M400
=MAX(K400,L400,M400,N400),"Lightly Active",
L400=MAX(K400,L400,M400,N400),"Fairly Active",
K400=MAX(K400,L400,M400,N400),"Very Active"
)</f>
        <v>Sedentary</v>
      </c>
      <c r="S400" t="str">
        <f t="shared" si="33"/>
        <v>Sedentary</v>
      </c>
    </row>
    <row r="401" spans="1:19" x14ac:dyDescent="0.3">
      <c r="A401">
        <v>8053475328</v>
      </c>
      <c r="B401" s="1">
        <v>42471</v>
      </c>
      <c r="C401">
        <v>16064</v>
      </c>
      <c r="D401">
        <v>12.7200002670288</v>
      </c>
      <c r="E401">
        <v>12.7200002670288</v>
      </c>
      <c r="F401">
        <v>0</v>
      </c>
      <c r="G401">
        <v>9.9799995422363299</v>
      </c>
      <c r="H401">
        <v>0.36000001430511502</v>
      </c>
      <c r="I401">
        <v>2.3800001144409202</v>
      </c>
      <c r="J401">
        <v>0</v>
      </c>
      <c r="K401">
        <v>96</v>
      </c>
      <c r="L401">
        <v>8</v>
      </c>
      <c r="M401">
        <v>155</v>
      </c>
      <c r="N401">
        <v>1181</v>
      </c>
      <c r="O401">
        <v>3097</v>
      </c>
      <c r="P401" t="str">
        <f t="shared" si="31"/>
        <v>Valid</v>
      </c>
      <c r="Q401" t="str">
        <f t="shared" si="32"/>
        <v>weekdays</v>
      </c>
      <c r="R401" t="str" cm="1">
        <f t="array" ref="R401">_xlfn.IFS(
N401=MAX(K401,L401,M401,N401),"Sedentary",M401
=MAX(K401,L401,M401,N401),"Lightly Active",
L401=MAX(K401,L401,M401,N401),"Fairly Active",
K401=MAX(K401,L401,M401,N401),"Very Active"
)</f>
        <v>Sedentary</v>
      </c>
      <c r="S401" t="str">
        <f t="shared" si="33"/>
        <v>Sedentary</v>
      </c>
    </row>
    <row r="402" spans="1:19" x14ac:dyDescent="0.3">
      <c r="A402">
        <v>8053475328</v>
      </c>
      <c r="B402" s="1">
        <v>42472</v>
      </c>
      <c r="C402">
        <v>290</v>
      </c>
      <c r="D402">
        <v>0.20999999344348899</v>
      </c>
      <c r="E402">
        <v>0.20999999344348899</v>
      </c>
      <c r="F402">
        <v>0</v>
      </c>
      <c r="G402">
        <v>0</v>
      </c>
      <c r="H402">
        <v>0</v>
      </c>
      <c r="I402">
        <v>0.20999999344348899</v>
      </c>
      <c r="J402">
        <v>0</v>
      </c>
      <c r="K402">
        <v>0</v>
      </c>
      <c r="L402">
        <v>0</v>
      </c>
      <c r="M402">
        <v>16</v>
      </c>
      <c r="N402">
        <v>599</v>
      </c>
      <c r="O402">
        <v>791</v>
      </c>
      <c r="P402" t="str">
        <f t="shared" si="31"/>
        <v>Valid</v>
      </c>
      <c r="Q402" t="str">
        <f t="shared" si="32"/>
        <v>weekdays</v>
      </c>
      <c r="R402" t="str" cm="1">
        <f t="array" ref="R402">_xlfn.IFS(
N402=MAX(K402,L402,M402,N402),"Sedentary",M402
=MAX(K402,L402,M402,N402),"Lightly Active",
L402=MAX(K402,L402,M402,N402),"Fairly Active",
K402=MAX(K402,L402,M402,N402),"Very Active"
)</f>
        <v>Sedentary</v>
      </c>
      <c r="S402" t="str">
        <f t="shared" si="33"/>
        <v>Sedentary</v>
      </c>
    </row>
    <row r="403" spans="1:19" x14ac:dyDescent="0.3">
      <c r="A403">
        <v>8253242879</v>
      </c>
      <c r="B403" s="1">
        <v>42461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1440</v>
      </c>
      <c r="O403">
        <v>1429</v>
      </c>
      <c r="P403" t="str">
        <f t="shared" ref="P403:P413" si="34">IF(AND(C403=0,D403=0,L403&gt;0),"Invalid","Valid")</f>
        <v>Valid</v>
      </c>
      <c r="Q403" t="str">
        <f t="shared" si="32"/>
        <v>weekdays</v>
      </c>
      <c r="R403" t="str" cm="1">
        <f t="array" ref="R403">_xlfn.IFS(
N403=MAX(K403,L403,M403,N403),"Sedentary",M403
=MAX(K403,L403,M403,N403),"Lightly Active",
L403=MAX(K403,L403,M403,N403),"Fairly Active",
K403=MAX(K403,L403,M403,N403),"Very Active"
)</f>
        <v>Sedentary</v>
      </c>
      <c r="S403" t="str">
        <f t="shared" si="33"/>
        <v>Sedentary</v>
      </c>
    </row>
    <row r="404" spans="1:19" x14ac:dyDescent="0.3">
      <c r="A404">
        <v>8253242879</v>
      </c>
      <c r="B404" s="1">
        <v>42462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1440</v>
      </c>
      <c r="O404">
        <v>1429</v>
      </c>
      <c r="P404" t="str">
        <f t="shared" si="34"/>
        <v>Valid</v>
      </c>
      <c r="Q404" t="str">
        <f t="shared" si="32"/>
        <v>weekends</v>
      </c>
      <c r="R404" t="str" cm="1">
        <f t="array" ref="R404">_xlfn.IFS(
N404=MAX(K404,L404,M404,N404),"Sedentary",M404
=MAX(K404,L404,M404,N404),"Lightly Active",
L404=MAX(K404,L404,M404,N404),"Fairly Active",
K404=MAX(K404,L404,M404,N404),"Very Active"
)</f>
        <v>Sedentary</v>
      </c>
      <c r="S404" t="str">
        <f t="shared" si="33"/>
        <v>Sedentary</v>
      </c>
    </row>
    <row r="405" spans="1:19" x14ac:dyDescent="0.3">
      <c r="A405">
        <v>8253242879</v>
      </c>
      <c r="B405" s="1">
        <v>42463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1440</v>
      </c>
      <c r="O405">
        <v>1429</v>
      </c>
      <c r="P405" t="str">
        <f t="shared" si="34"/>
        <v>Valid</v>
      </c>
      <c r="Q405" t="str">
        <f t="shared" si="32"/>
        <v>weekends</v>
      </c>
      <c r="R405" t="str" cm="1">
        <f t="array" ref="R405">_xlfn.IFS(
N405=MAX(K405,L405,M405,N405),"Sedentary",M405
=MAX(K405,L405,M405,N405),"Lightly Active",
L405=MAX(K405,L405,M405,N405),"Fairly Active",
K405=MAX(K405,L405,M405,N405),"Very Active"
)</f>
        <v>Sedentary</v>
      </c>
      <c r="S405" t="str">
        <f t="shared" si="33"/>
        <v>Sedentary</v>
      </c>
    </row>
    <row r="406" spans="1:19" x14ac:dyDescent="0.3">
      <c r="A406">
        <v>8253242879</v>
      </c>
      <c r="B406" s="1">
        <v>42464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1440</v>
      </c>
      <c r="O406">
        <v>1429</v>
      </c>
      <c r="P406" t="str">
        <f t="shared" si="34"/>
        <v>Valid</v>
      </c>
      <c r="Q406" t="str">
        <f t="shared" si="32"/>
        <v>weekdays</v>
      </c>
      <c r="R406" t="str" cm="1">
        <f t="array" ref="R406">_xlfn.IFS(
N406=MAX(K406,L406,M406,N406),"Sedentary",M406
=MAX(K406,L406,M406,N406),"Lightly Active",
L406=MAX(K406,L406,M406,N406),"Fairly Active",
K406=MAX(K406,L406,M406,N406),"Very Active"
)</f>
        <v>Sedentary</v>
      </c>
      <c r="S406" t="str">
        <f t="shared" si="33"/>
        <v>Sedentary</v>
      </c>
    </row>
    <row r="407" spans="1:19" x14ac:dyDescent="0.3">
      <c r="A407">
        <v>8253242879</v>
      </c>
      <c r="B407" s="1">
        <v>42465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1440</v>
      </c>
      <c r="O407">
        <v>1429</v>
      </c>
      <c r="P407" t="str">
        <f t="shared" si="34"/>
        <v>Valid</v>
      </c>
      <c r="Q407" t="str">
        <f t="shared" si="32"/>
        <v>weekdays</v>
      </c>
      <c r="R407" t="str" cm="1">
        <f t="array" ref="R407">_xlfn.IFS(
N407=MAX(K407,L407,M407,N407),"Sedentary",M407
=MAX(K407,L407,M407,N407),"Lightly Active",
L407=MAX(K407,L407,M407,N407),"Fairly Active",
K407=MAX(K407,L407,M407,N407),"Very Active"
)</f>
        <v>Sedentary</v>
      </c>
      <c r="S407" t="str">
        <f t="shared" si="33"/>
        <v>Sedentary</v>
      </c>
    </row>
    <row r="408" spans="1:19" x14ac:dyDescent="0.3">
      <c r="A408">
        <v>8253242879</v>
      </c>
      <c r="B408" s="1">
        <v>42466</v>
      </c>
      <c r="C408">
        <v>1931</v>
      </c>
      <c r="D408">
        <v>1.2799999713897701</v>
      </c>
      <c r="E408">
        <v>1.2799999713897701</v>
      </c>
      <c r="F408">
        <v>0</v>
      </c>
      <c r="G408">
        <v>0</v>
      </c>
      <c r="H408">
        <v>0</v>
      </c>
      <c r="I408">
        <v>1.2799999713897701</v>
      </c>
      <c r="J408">
        <v>0</v>
      </c>
      <c r="K408">
        <v>0</v>
      </c>
      <c r="L408">
        <v>0</v>
      </c>
      <c r="M408">
        <v>94</v>
      </c>
      <c r="N408">
        <v>1346</v>
      </c>
      <c r="O408">
        <v>1607</v>
      </c>
      <c r="P408" t="str">
        <f t="shared" si="34"/>
        <v>Valid</v>
      </c>
      <c r="Q408" t="str">
        <f t="shared" si="32"/>
        <v>weekdays</v>
      </c>
      <c r="R408" t="str" cm="1">
        <f t="array" ref="R408">_xlfn.IFS(
N408=MAX(K408,L408,M408,N408),"Sedentary",M408
=MAX(K408,L408,M408,N408),"Lightly Active",
L408=MAX(K408,L408,M408,N408),"Fairly Active",
K408=MAX(K408,L408,M408,N408),"Very Active"
)</f>
        <v>Sedentary</v>
      </c>
      <c r="S408" t="str">
        <f t="shared" si="33"/>
        <v>Sedentary</v>
      </c>
    </row>
    <row r="409" spans="1:19" x14ac:dyDescent="0.3">
      <c r="A409">
        <v>8253242879</v>
      </c>
      <c r="B409" s="1">
        <v>42467</v>
      </c>
      <c r="C409">
        <v>5181</v>
      </c>
      <c r="D409">
        <v>3.4200000762939502</v>
      </c>
      <c r="E409">
        <v>3.4200000762939502</v>
      </c>
      <c r="F409">
        <v>0</v>
      </c>
      <c r="G409">
        <v>1</v>
      </c>
      <c r="H409">
        <v>0.91000002622604403</v>
      </c>
      <c r="I409">
        <v>1.5099999904632599</v>
      </c>
      <c r="J409">
        <v>9.9999997764825804E-3</v>
      </c>
      <c r="K409">
        <v>15</v>
      </c>
      <c r="L409">
        <v>15</v>
      </c>
      <c r="M409">
        <v>107</v>
      </c>
      <c r="N409">
        <v>1303</v>
      </c>
      <c r="O409">
        <v>1776</v>
      </c>
      <c r="P409" t="str">
        <f t="shared" si="34"/>
        <v>Valid</v>
      </c>
      <c r="Q409" t="str">
        <f t="shared" si="32"/>
        <v>weekdays</v>
      </c>
      <c r="R409" t="str" cm="1">
        <f t="array" ref="R409">_xlfn.IFS(
N409=MAX(K409,L409,M409,N409),"Sedentary",M409
=MAX(K409,L409,M409,N409),"Lightly Active",
L409=MAX(K409,L409,M409,N409),"Fairly Active",
K409=MAX(K409,L409,M409,N409),"Very Active"
)</f>
        <v>Sedentary</v>
      </c>
      <c r="S409" t="str">
        <f t="shared" si="33"/>
        <v>Sedentary</v>
      </c>
    </row>
    <row r="410" spans="1:19" x14ac:dyDescent="0.3">
      <c r="A410">
        <v>8253242879</v>
      </c>
      <c r="B410" s="1">
        <v>42468</v>
      </c>
      <c r="C410">
        <v>12026</v>
      </c>
      <c r="D410">
        <v>9.1499996185302699</v>
      </c>
      <c r="E410">
        <v>9.1499996185302699</v>
      </c>
      <c r="F410">
        <v>0</v>
      </c>
      <c r="G410">
        <v>5.6999998092651403</v>
      </c>
      <c r="H410">
        <v>0.93000000715255704</v>
      </c>
      <c r="I410">
        <v>2.5099999904632599</v>
      </c>
      <c r="J410">
        <v>0</v>
      </c>
      <c r="K410">
        <v>47</v>
      </c>
      <c r="L410">
        <v>13</v>
      </c>
      <c r="M410">
        <v>150</v>
      </c>
      <c r="N410">
        <v>1230</v>
      </c>
      <c r="O410">
        <v>2162</v>
      </c>
      <c r="P410" t="str">
        <f t="shared" si="34"/>
        <v>Valid</v>
      </c>
      <c r="Q410" t="str">
        <f t="shared" si="32"/>
        <v>weekdays</v>
      </c>
      <c r="R410" t="str" cm="1">
        <f t="array" ref="R410">_xlfn.IFS(
N410=MAX(K410,L410,M410,N410),"Sedentary",M410
=MAX(K410,L410,M410,N410),"Lightly Active",
L410=MAX(K410,L410,M410,N410),"Fairly Active",
K410=MAX(K410,L410,M410,N410),"Very Active"
)</f>
        <v>Sedentary</v>
      </c>
      <c r="S410" t="str">
        <f t="shared" si="33"/>
        <v>Sedentary</v>
      </c>
    </row>
    <row r="411" spans="1:19" x14ac:dyDescent="0.3">
      <c r="A411">
        <v>8253242879</v>
      </c>
      <c r="B411" s="1">
        <v>42469</v>
      </c>
      <c r="C411">
        <v>5360</v>
      </c>
      <c r="D411">
        <v>3.53999996185303</v>
      </c>
      <c r="E411">
        <v>3.53999996185303</v>
      </c>
      <c r="F411">
        <v>0</v>
      </c>
      <c r="G411">
        <v>0.54000002145767201</v>
      </c>
      <c r="H411">
        <v>1.54999995231628</v>
      </c>
      <c r="I411">
        <v>1.46000003814697</v>
      </c>
      <c r="J411">
        <v>0</v>
      </c>
      <c r="K411">
        <v>8</v>
      </c>
      <c r="L411">
        <v>28</v>
      </c>
      <c r="M411">
        <v>148</v>
      </c>
      <c r="N411">
        <v>1256</v>
      </c>
      <c r="O411">
        <v>1832</v>
      </c>
      <c r="P411" t="str">
        <f t="shared" si="34"/>
        <v>Valid</v>
      </c>
      <c r="Q411" t="str">
        <f t="shared" si="32"/>
        <v>weekends</v>
      </c>
      <c r="R411" t="str" cm="1">
        <f t="array" ref="R411">_xlfn.IFS(
N411=MAX(K411,L411,M411,N411),"Sedentary",M411
=MAX(K411,L411,M411,N411),"Lightly Active",
L411=MAX(K411,L411,M411,N411),"Fairly Active",
K411=MAX(K411,L411,M411,N411),"Very Active"
)</f>
        <v>Sedentary</v>
      </c>
      <c r="S411" t="str">
        <f t="shared" si="33"/>
        <v>Sedentary</v>
      </c>
    </row>
    <row r="412" spans="1:19" x14ac:dyDescent="0.3">
      <c r="A412">
        <v>8253242879</v>
      </c>
      <c r="B412" s="1">
        <v>42470</v>
      </c>
      <c r="C412">
        <v>2545</v>
      </c>
      <c r="D412">
        <v>1.6799999475479099</v>
      </c>
      <c r="E412">
        <v>1.6799999475479099</v>
      </c>
      <c r="F412">
        <v>0</v>
      </c>
      <c r="G412">
        <v>0</v>
      </c>
      <c r="H412">
        <v>0</v>
      </c>
      <c r="I412">
        <v>1.66999995708466</v>
      </c>
      <c r="J412">
        <v>1.9999999552965199E-2</v>
      </c>
      <c r="K412">
        <v>0</v>
      </c>
      <c r="L412">
        <v>0</v>
      </c>
      <c r="M412">
        <v>126</v>
      </c>
      <c r="N412">
        <v>1314</v>
      </c>
      <c r="O412">
        <v>1657</v>
      </c>
      <c r="P412" t="str">
        <f t="shared" si="34"/>
        <v>Valid</v>
      </c>
      <c r="Q412" t="str">
        <f t="shared" si="32"/>
        <v>weekends</v>
      </c>
      <c r="R412" t="str" cm="1">
        <f t="array" ref="R412">_xlfn.IFS(
N412=MAX(K412,L412,M412,N412),"Sedentary",M412
=MAX(K412,L412,M412,N412),"Lightly Active",
L412=MAX(K412,L412,M412,N412),"Fairly Active",
K412=MAX(K412,L412,M412,N412),"Very Active"
)</f>
        <v>Sedentary</v>
      </c>
      <c r="S412" t="str">
        <f t="shared" si="33"/>
        <v>Sedentary</v>
      </c>
    </row>
    <row r="413" spans="1:19" x14ac:dyDescent="0.3">
      <c r="A413">
        <v>8253242879</v>
      </c>
      <c r="B413" s="1">
        <v>42471</v>
      </c>
      <c r="C413">
        <v>1636</v>
      </c>
      <c r="D413">
        <v>1.08000004291534</v>
      </c>
      <c r="E413">
        <v>1.08000004291534</v>
      </c>
      <c r="F413">
        <v>0</v>
      </c>
      <c r="G413">
        <v>0</v>
      </c>
      <c r="H413">
        <v>0</v>
      </c>
      <c r="I413">
        <v>1.08000004291534</v>
      </c>
      <c r="J413">
        <v>0</v>
      </c>
      <c r="K413">
        <v>0</v>
      </c>
      <c r="L413">
        <v>0</v>
      </c>
      <c r="M413">
        <v>86</v>
      </c>
      <c r="N413">
        <v>1139</v>
      </c>
      <c r="O413">
        <v>1377</v>
      </c>
      <c r="P413" t="str">
        <f t="shared" si="34"/>
        <v>Valid</v>
      </c>
      <c r="Q413" t="str">
        <f t="shared" si="32"/>
        <v>weekdays</v>
      </c>
      <c r="R413" t="str" cm="1">
        <f t="array" ref="R413">_xlfn.IFS(
N413=MAX(K413,L413,M413,N413),"Sedentary",M413
=MAX(K413,L413,M413,N413),"Lightly Active",
L413=MAX(K413,L413,M413,N413),"Fairly Active",
K413=MAX(K413,L413,M413,N413),"Very Active"
)</f>
        <v>Sedentary</v>
      </c>
      <c r="S413" t="str">
        <f t="shared" si="33"/>
        <v>Sedentary</v>
      </c>
    </row>
    <row r="414" spans="1:19" x14ac:dyDescent="0.3">
      <c r="A414">
        <v>8253242879</v>
      </c>
      <c r="B414" s="1">
        <v>42472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0</v>
      </c>
      <c r="P414" t="str">
        <f>IF(AND(C414=0,D414=0,L414&gt;0),"Invalid","Valid")</f>
        <v>Valid</v>
      </c>
      <c r="Q414" t="str">
        <f t="shared" si="32"/>
        <v>weekdays</v>
      </c>
      <c r="R414" t="str" cm="1">
        <f t="array" ref="R414">_xlfn.IFS(
N414=MAX(K414,L414,M414,N414),"Sedentary",M414
=MAX(K414,L414,M414,N414),"Lightly Active",
L414=MAX(K414,L414,M414,N414),"Fairly Active",
K414=MAX(K414,L414,M414,N414),"Very Active"
)</f>
        <v>Sedentary</v>
      </c>
      <c r="S414" t="str">
        <f t="shared" si="33"/>
        <v>Sedentary</v>
      </c>
    </row>
    <row r="415" spans="1:19" x14ac:dyDescent="0.3">
      <c r="A415">
        <v>8378563200</v>
      </c>
      <c r="B415" s="1">
        <v>42461</v>
      </c>
      <c r="C415">
        <v>14179</v>
      </c>
      <c r="D415">
        <v>11.2399997711182</v>
      </c>
      <c r="E415">
        <v>11.2399997711182</v>
      </c>
      <c r="F415">
        <v>0</v>
      </c>
      <c r="G415">
        <v>6.2300000190734899</v>
      </c>
      <c r="H415">
        <v>1.0599999427795399</v>
      </c>
      <c r="I415">
        <v>3.96000003814697</v>
      </c>
      <c r="J415">
        <v>0</v>
      </c>
      <c r="K415">
        <v>73</v>
      </c>
      <c r="L415">
        <v>21</v>
      </c>
      <c r="M415">
        <v>195</v>
      </c>
      <c r="N415">
        <v>719</v>
      </c>
      <c r="O415">
        <v>3669</v>
      </c>
      <c r="P415" t="str">
        <f t="shared" ref="P415:P458" si="35">IF(AND(C415=0,D415=0,L415&gt;0),"Invalid","Valid")</f>
        <v>Valid</v>
      </c>
      <c r="Q415" t="str">
        <f t="shared" si="32"/>
        <v>weekdays</v>
      </c>
      <c r="R415" t="str" cm="1">
        <f t="array" ref="R415">_xlfn.IFS(
N415=MAX(K415,L415,M415,N415),"Sedentary",M415
=MAX(K415,L415,M415,N415),"Lightly Active",
L415=MAX(K415,L415,M415,N415),"Fairly Active",
K415=MAX(K415,L415,M415,N415),"Very Active"
)</f>
        <v>Sedentary</v>
      </c>
      <c r="S415" t="str">
        <f t="shared" si="33"/>
        <v>Sedentary</v>
      </c>
    </row>
    <row r="416" spans="1:19" x14ac:dyDescent="0.3">
      <c r="A416">
        <v>8378563200</v>
      </c>
      <c r="B416" s="1">
        <v>42462</v>
      </c>
      <c r="C416">
        <v>3358</v>
      </c>
      <c r="D416">
        <v>2.6600000858306898</v>
      </c>
      <c r="E416">
        <v>2.6600000858306898</v>
      </c>
      <c r="F416">
        <v>0</v>
      </c>
      <c r="G416">
        <v>0</v>
      </c>
      <c r="H416">
        <v>0</v>
      </c>
      <c r="I416">
        <v>2.6600000858306898</v>
      </c>
      <c r="J416">
        <v>0</v>
      </c>
      <c r="K416">
        <v>0</v>
      </c>
      <c r="L416">
        <v>0</v>
      </c>
      <c r="M416">
        <v>144</v>
      </c>
      <c r="N416">
        <v>657</v>
      </c>
      <c r="O416">
        <v>2702</v>
      </c>
      <c r="P416" t="str">
        <f t="shared" si="35"/>
        <v>Valid</v>
      </c>
      <c r="Q416" t="str">
        <f t="shared" si="32"/>
        <v>weekends</v>
      </c>
      <c r="R416" t="str" cm="1">
        <f t="array" ref="R416">_xlfn.IFS(
N416=MAX(K416,L416,M416,N416),"Sedentary",M416
=MAX(K416,L416,M416,N416),"Lightly Active",
L416=MAX(K416,L416,M416,N416),"Fairly Active",
K416=MAX(K416,L416,M416,N416),"Very Active"
)</f>
        <v>Sedentary</v>
      </c>
      <c r="S416" t="str">
        <f t="shared" si="33"/>
        <v>Sedentary</v>
      </c>
    </row>
    <row r="417" spans="1:19" x14ac:dyDescent="0.3">
      <c r="A417">
        <v>8378563200</v>
      </c>
      <c r="B417" s="1">
        <v>42463</v>
      </c>
      <c r="C417">
        <v>9152</v>
      </c>
      <c r="D417">
        <v>7.2600002288818404</v>
      </c>
      <c r="E417">
        <v>7.2600002288818404</v>
      </c>
      <c r="F417">
        <v>0</v>
      </c>
      <c r="G417">
        <v>1.9900000095367401</v>
      </c>
      <c r="H417">
        <v>0.81999999284744296</v>
      </c>
      <c r="I417">
        <v>4.4499998092651403</v>
      </c>
      <c r="J417">
        <v>0</v>
      </c>
      <c r="K417">
        <v>25</v>
      </c>
      <c r="L417">
        <v>13</v>
      </c>
      <c r="M417">
        <v>243</v>
      </c>
      <c r="N417">
        <v>600</v>
      </c>
      <c r="O417">
        <v>3304</v>
      </c>
      <c r="P417" t="str">
        <f t="shared" si="35"/>
        <v>Valid</v>
      </c>
      <c r="Q417" t="str">
        <f t="shared" si="32"/>
        <v>weekends</v>
      </c>
      <c r="R417" t="str" cm="1">
        <f t="array" ref="R417">_xlfn.IFS(
N417=MAX(K417,L417,M417,N417),"Sedentary",M417
=MAX(K417,L417,M417,N417),"Lightly Active",
L417=MAX(K417,L417,M417,N417),"Fairly Active",
K417=MAX(K417,L417,M417,N417),"Very Active"
)</f>
        <v>Sedentary</v>
      </c>
      <c r="S417" t="str">
        <f t="shared" si="33"/>
        <v>Sedentary</v>
      </c>
    </row>
    <row r="418" spans="1:19" x14ac:dyDescent="0.3">
      <c r="A418">
        <v>8378563200</v>
      </c>
      <c r="B418" s="1">
        <v>42464</v>
      </c>
      <c r="C418">
        <v>13935</v>
      </c>
      <c r="D418">
        <v>11.050000190734901</v>
      </c>
      <c r="E418">
        <v>11.050000190734901</v>
      </c>
      <c r="F418">
        <v>2.0921471118927002</v>
      </c>
      <c r="G418">
        <v>4.0900001525878897</v>
      </c>
      <c r="H418">
        <v>0.79000002145767201</v>
      </c>
      <c r="I418">
        <v>6.1700000762939498</v>
      </c>
      <c r="J418">
        <v>0</v>
      </c>
      <c r="K418">
        <v>105</v>
      </c>
      <c r="L418">
        <v>16</v>
      </c>
      <c r="M418">
        <v>220</v>
      </c>
      <c r="N418">
        <v>658</v>
      </c>
      <c r="O418">
        <v>4234</v>
      </c>
      <c r="P418" t="str">
        <f t="shared" si="35"/>
        <v>Valid</v>
      </c>
      <c r="Q418" t="str">
        <f t="shared" si="32"/>
        <v>weekdays</v>
      </c>
      <c r="R418" t="str" cm="1">
        <f t="array" ref="R418">_xlfn.IFS(
N418=MAX(K418,L418,M418,N418),"Sedentary",M418
=MAX(K418,L418,M418,N418),"Lightly Active",
L418=MAX(K418,L418,M418,N418),"Fairly Active",
K418=MAX(K418,L418,M418,N418),"Very Active"
)</f>
        <v>Sedentary</v>
      </c>
      <c r="S418" t="str">
        <f t="shared" si="33"/>
        <v>Sedentary</v>
      </c>
    </row>
    <row r="419" spans="1:19" x14ac:dyDescent="0.3">
      <c r="A419">
        <v>8378563200</v>
      </c>
      <c r="B419" s="1">
        <v>42465</v>
      </c>
      <c r="C419">
        <v>12846</v>
      </c>
      <c r="D419">
        <v>10.189999580383301</v>
      </c>
      <c r="E419">
        <v>10.189999580383301</v>
      </c>
      <c r="F419">
        <v>2.2530810832977299</v>
      </c>
      <c r="G419">
        <v>5</v>
      </c>
      <c r="H419">
        <v>0.75</v>
      </c>
      <c r="I419">
        <v>4.4400000572204599</v>
      </c>
      <c r="J419">
        <v>0</v>
      </c>
      <c r="K419">
        <v>113</v>
      </c>
      <c r="L419">
        <v>15</v>
      </c>
      <c r="M419">
        <v>189</v>
      </c>
      <c r="N419">
        <v>686</v>
      </c>
      <c r="O419">
        <v>4128</v>
      </c>
      <c r="P419" t="str">
        <f t="shared" si="35"/>
        <v>Valid</v>
      </c>
      <c r="Q419" t="str">
        <f t="shared" si="32"/>
        <v>weekdays</v>
      </c>
      <c r="R419" t="str" cm="1">
        <f t="array" ref="R419">_xlfn.IFS(
N419=MAX(K419,L419,M419,N419),"Sedentary",M419
=MAX(K419,L419,M419,N419),"Lightly Active",
L419=MAX(K419,L419,M419,N419),"Fairly Active",
K419=MAX(K419,L419,M419,N419),"Very Active"
)</f>
        <v>Sedentary</v>
      </c>
      <c r="S419" t="str">
        <f t="shared" si="33"/>
        <v>Sedentary</v>
      </c>
    </row>
    <row r="420" spans="1:19" x14ac:dyDescent="0.3">
      <c r="A420">
        <v>8378563200</v>
      </c>
      <c r="B420" s="1">
        <v>42466</v>
      </c>
      <c r="C420">
        <v>9124</v>
      </c>
      <c r="D420">
        <v>7.2399997711181596</v>
      </c>
      <c r="E420">
        <v>7.2399997711181596</v>
      </c>
      <c r="F420">
        <v>2.0921471118927002</v>
      </c>
      <c r="G420">
        <v>0</v>
      </c>
      <c r="H420">
        <v>0.25</v>
      </c>
      <c r="I420">
        <v>6.9899997711181596</v>
      </c>
      <c r="J420">
        <v>0</v>
      </c>
      <c r="K420">
        <v>55</v>
      </c>
      <c r="L420">
        <v>6</v>
      </c>
      <c r="M420">
        <v>230</v>
      </c>
      <c r="N420">
        <v>728</v>
      </c>
      <c r="O420">
        <v>3798</v>
      </c>
      <c r="P420" t="str">
        <f t="shared" si="35"/>
        <v>Valid</v>
      </c>
      <c r="Q420" t="str">
        <f t="shared" si="32"/>
        <v>weekdays</v>
      </c>
      <c r="R420" t="str" cm="1">
        <f t="array" ref="R420">_xlfn.IFS(
N420=MAX(K420,L420,M420,N420),"Sedentary",M420
=MAX(K420,L420,M420,N420),"Lightly Active",
L420=MAX(K420,L420,M420,N420),"Fairly Active",
K420=MAX(K420,L420,M420,N420),"Very Active"
)</f>
        <v>Sedentary</v>
      </c>
      <c r="S420" t="str">
        <f t="shared" si="33"/>
        <v>Sedentary</v>
      </c>
    </row>
    <row r="421" spans="1:19" x14ac:dyDescent="0.3">
      <c r="A421">
        <v>8378563200</v>
      </c>
      <c r="B421" s="1">
        <v>42467</v>
      </c>
      <c r="C421">
        <v>9725</v>
      </c>
      <c r="D421">
        <v>7.71000003814697</v>
      </c>
      <c r="E421">
        <v>7.71000003814697</v>
      </c>
      <c r="F421">
        <v>2.2530810832977299</v>
      </c>
      <c r="G421">
        <v>2.4100000858306898</v>
      </c>
      <c r="H421">
        <v>0.52999997138977095</v>
      </c>
      <c r="I421">
        <v>4.7699999809265101</v>
      </c>
      <c r="J421">
        <v>0</v>
      </c>
      <c r="K421">
        <v>83</v>
      </c>
      <c r="L421">
        <v>11</v>
      </c>
      <c r="M421">
        <v>181</v>
      </c>
      <c r="N421">
        <v>670</v>
      </c>
      <c r="O421">
        <v>3839</v>
      </c>
      <c r="P421" t="str">
        <f t="shared" si="35"/>
        <v>Valid</v>
      </c>
      <c r="Q421" t="str">
        <f t="shared" si="32"/>
        <v>weekdays</v>
      </c>
      <c r="R421" t="str" cm="1">
        <f t="array" ref="R421">_xlfn.IFS(
N421=MAX(K421,L421,M421,N421),"Sedentary",M421
=MAX(K421,L421,M421,N421),"Lightly Active",
L421=MAX(K421,L421,M421,N421),"Fairly Active",
K421=MAX(K421,L421,M421,N421),"Very Active"
)</f>
        <v>Sedentary</v>
      </c>
      <c r="S421" t="str">
        <f t="shared" si="33"/>
        <v>Sedentary</v>
      </c>
    </row>
    <row r="422" spans="1:19" x14ac:dyDescent="0.3">
      <c r="A422">
        <v>8378563200</v>
      </c>
      <c r="B422" s="1">
        <v>42468</v>
      </c>
      <c r="C422">
        <v>8350</v>
      </c>
      <c r="D422">
        <v>6.6199998855590803</v>
      </c>
      <c r="E422">
        <v>6.6199998855590803</v>
      </c>
      <c r="F422">
        <v>2.0921471118927002</v>
      </c>
      <c r="G422">
        <v>1.4900000095367401</v>
      </c>
      <c r="H422">
        <v>0.52999997138977095</v>
      </c>
      <c r="I422">
        <v>4.6100001335143999</v>
      </c>
      <c r="J422">
        <v>0</v>
      </c>
      <c r="K422">
        <v>72</v>
      </c>
      <c r="L422">
        <v>10</v>
      </c>
      <c r="M422">
        <v>167</v>
      </c>
      <c r="N422">
        <v>868</v>
      </c>
      <c r="O422">
        <v>3713</v>
      </c>
      <c r="P422" t="str">
        <f t="shared" si="35"/>
        <v>Valid</v>
      </c>
      <c r="Q422" t="str">
        <f t="shared" si="32"/>
        <v>weekdays</v>
      </c>
      <c r="R422" t="str" cm="1">
        <f t="array" ref="R422">_xlfn.IFS(
N422=MAX(K422,L422,M422,N422),"Sedentary",M422
=MAX(K422,L422,M422,N422),"Lightly Active",
L422=MAX(K422,L422,M422,N422),"Fairly Active",
K422=MAX(K422,L422,M422,N422),"Very Active"
)</f>
        <v>Sedentary</v>
      </c>
      <c r="S422" t="str">
        <f t="shared" si="33"/>
        <v>Sedentary</v>
      </c>
    </row>
    <row r="423" spans="1:19" x14ac:dyDescent="0.3">
      <c r="A423">
        <v>8378563200</v>
      </c>
      <c r="B423" s="1">
        <v>42469</v>
      </c>
      <c r="C423">
        <v>2240</v>
      </c>
      <c r="D423">
        <v>1.7799999713897701</v>
      </c>
      <c r="E423">
        <v>1.7799999713897701</v>
      </c>
      <c r="F423">
        <v>0</v>
      </c>
      <c r="G423">
        <v>0</v>
      </c>
      <c r="H423">
        <v>0</v>
      </c>
      <c r="I423">
        <v>1.7799999713897701</v>
      </c>
      <c r="J423">
        <v>0</v>
      </c>
      <c r="K423">
        <v>0</v>
      </c>
      <c r="L423">
        <v>0</v>
      </c>
      <c r="M423">
        <v>110</v>
      </c>
      <c r="N423">
        <v>843</v>
      </c>
      <c r="O423">
        <v>2606</v>
      </c>
      <c r="P423" t="str">
        <f t="shared" si="35"/>
        <v>Valid</v>
      </c>
      <c r="Q423" t="str">
        <f t="shared" si="32"/>
        <v>weekends</v>
      </c>
      <c r="R423" t="str" cm="1">
        <f t="array" ref="R423">_xlfn.IFS(
N423=MAX(K423,L423,M423,N423),"Sedentary",M423
=MAX(K423,L423,M423,N423),"Lightly Active",
L423=MAX(K423,L423,M423,N423),"Fairly Active",
K423=MAX(K423,L423,M423,N423),"Very Active"
)</f>
        <v>Sedentary</v>
      </c>
      <c r="S423" t="str">
        <f t="shared" si="33"/>
        <v>Sedentary</v>
      </c>
    </row>
    <row r="424" spans="1:19" x14ac:dyDescent="0.3">
      <c r="A424">
        <v>8378563200</v>
      </c>
      <c r="B424" s="1">
        <v>42470</v>
      </c>
      <c r="C424">
        <v>2631</v>
      </c>
      <c r="D424">
        <v>2.0899999141693102</v>
      </c>
      <c r="E424">
        <v>2.0899999141693102</v>
      </c>
      <c r="F424">
        <v>0</v>
      </c>
      <c r="G424">
        <v>0</v>
      </c>
      <c r="H424">
        <v>0</v>
      </c>
      <c r="I424">
        <v>2.0899999141693102</v>
      </c>
      <c r="J424">
        <v>0</v>
      </c>
      <c r="K424">
        <v>0</v>
      </c>
      <c r="L424">
        <v>0</v>
      </c>
      <c r="M424">
        <v>117</v>
      </c>
      <c r="N424">
        <v>727</v>
      </c>
      <c r="O424">
        <v>2624</v>
      </c>
      <c r="P424" t="str">
        <f t="shared" si="35"/>
        <v>Valid</v>
      </c>
      <c r="Q424" t="str">
        <f t="shared" si="32"/>
        <v>weekends</v>
      </c>
      <c r="R424" t="str" cm="1">
        <f t="array" ref="R424">_xlfn.IFS(
N424=MAX(K424,L424,M424,N424),"Sedentary",M424
=MAX(K424,L424,M424,N424),"Lightly Active",
L424=MAX(K424,L424,M424,N424),"Fairly Active",
K424=MAX(K424,L424,M424,N424),"Very Active"
)</f>
        <v>Sedentary</v>
      </c>
      <c r="S424" t="str">
        <f t="shared" si="33"/>
        <v>Sedentary</v>
      </c>
    </row>
    <row r="425" spans="1:19" x14ac:dyDescent="0.3">
      <c r="A425">
        <v>8378563200</v>
      </c>
      <c r="B425" s="1">
        <v>42471</v>
      </c>
      <c r="C425">
        <v>8837</v>
      </c>
      <c r="D425">
        <v>7.0100002288818404</v>
      </c>
      <c r="E425">
        <v>7.0100002288818404</v>
      </c>
      <c r="F425">
        <v>2.0921471118927002</v>
      </c>
      <c r="G425">
        <v>1.53999996185303</v>
      </c>
      <c r="H425">
        <v>0.87999999523162797</v>
      </c>
      <c r="I425">
        <v>4.5900001525878897</v>
      </c>
      <c r="J425">
        <v>0</v>
      </c>
      <c r="K425">
        <v>74</v>
      </c>
      <c r="L425">
        <v>17</v>
      </c>
      <c r="M425">
        <v>182</v>
      </c>
      <c r="N425">
        <v>811</v>
      </c>
      <c r="O425">
        <v>3775</v>
      </c>
      <c r="P425" t="str">
        <f t="shared" si="35"/>
        <v>Valid</v>
      </c>
      <c r="Q425" t="str">
        <f t="shared" si="32"/>
        <v>weekdays</v>
      </c>
      <c r="R425" t="str" cm="1">
        <f t="array" ref="R425">_xlfn.IFS(
N425=MAX(K425,L425,M425,N425),"Sedentary",M425
=MAX(K425,L425,M425,N425),"Lightly Active",
L425=MAX(K425,L425,M425,N425),"Fairly Active",
K425=MAX(K425,L425,M425,N425),"Very Active"
)</f>
        <v>Sedentary</v>
      </c>
      <c r="S425" t="str">
        <f t="shared" si="33"/>
        <v>Sedentary</v>
      </c>
    </row>
    <row r="426" spans="1:19" x14ac:dyDescent="0.3">
      <c r="A426">
        <v>8378563200</v>
      </c>
      <c r="B426" s="1">
        <v>42472</v>
      </c>
      <c r="C426">
        <v>3246</v>
      </c>
      <c r="D426">
        <v>2.5699999332428001</v>
      </c>
      <c r="E426">
        <v>2.5699999332428001</v>
      </c>
      <c r="F426">
        <v>2.2530810832977299</v>
      </c>
      <c r="G426">
        <v>0.82999998331069902</v>
      </c>
      <c r="H426">
        <v>0.70999997854232799</v>
      </c>
      <c r="I426">
        <v>1.0299999713897701</v>
      </c>
      <c r="J426">
        <v>0</v>
      </c>
      <c r="K426">
        <v>65</v>
      </c>
      <c r="L426">
        <v>15</v>
      </c>
      <c r="M426">
        <v>49</v>
      </c>
      <c r="N426">
        <v>243</v>
      </c>
      <c r="O426">
        <v>1882</v>
      </c>
      <c r="P426" t="str">
        <f t="shared" si="35"/>
        <v>Valid</v>
      </c>
      <c r="Q426" t="str">
        <f t="shared" si="32"/>
        <v>weekdays</v>
      </c>
      <c r="R426" t="str" cm="1">
        <f t="array" ref="R426">_xlfn.IFS(
N426=MAX(K426,L426,M426,N426),"Sedentary",M426
=MAX(K426,L426,M426,N426),"Lightly Active",
L426=MAX(K426,L426,M426,N426),"Fairly Active",
K426=MAX(K426,L426,M426,N426),"Very Active"
)</f>
        <v>Sedentary</v>
      </c>
      <c r="S426" t="str">
        <f t="shared" si="33"/>
        <v>Sedentary</v>
      </c>
    </row>
    <row r="427" spans="1:19" x14ac:dyDescent="0.3">
      <c r="A427">
        <v>8583815059</v>
      </c>
      <c r="B427" s="1">
        <v>42461</v>
      </c>
      <c r="C427">
        <v>2174</v>
      </c>
      <c r="D427">
        <v>1.70000004768372</v>
      </c>
      <c r="E427">
        <v>1.70000004768372</v>
      </c>
      <c r="F427">
        <v>0</v>
      </c>
      <c r="G427">
        <v>0</v>
      </c>
      <c r="H427">
        <v>0</v>
      </c>
      <c r="I427">
        <v>1.70000004768372</v>
      </c>
      <c r="J427">
        <v>0</v>
      </c>
      <c r="K427">
        <v>0</v>
      </c>
      <c r="L427">
        <v>0</v>
      </c>
      <c r="M427">
        <v>112</v>
      </c>
      <c r="N427">
        <v>1328</v>
      </c>
      <c r="O427">
        <v>2360</v>
      </c>
      <c r="P427" t="str">
        <f t="shared" si="35"/>
        <v>Valid</v>
      </c>
      <c r="Q427" t="str">
        <f t="shared" si="32"/>
        <v>weekdays</v>
      </c>
      <c r="R427" t="str" cm="1">
        <f t="array" ref="R427">_xlfn.IFS(
N427=MAX(K427,L427,M427,N427),"Sedentary",M427
=MAX(K427,L427,M427,N427),"Lightly Active",
L427=MAX(K427,L427,M427,N427),"Fairly Active",
K427=MAX(K427,L427,M427,N427),"Very Active"
)</f>
        <v>Sedentary</v>
      </c>
      <c r="S427" t="str">
        <f t="shared" si="33"/>
        <v>Sedentary</v>
      </c>
    </row>
    <row r="428" spans="1:19" x14ac:dyDescent="0.3">
      <c r="A428">
        <v>8583815059</v>
      </c>
      <c r="B428" s="1">
        <v>42462</v>
      </c>
      <c r="C428">
        <v>3494</v>
      </c>
      <c r="D428">
        <v>2.7300000190734899</v>
      </c>
      <c r="E428">
        <v>2.7300000190734899</v>
      </c>
      <c r="F428">
        <v>0</v>
      </c>
      <c r="G428">
        <v>0</v>
      </c>
      <c r="H428">
        <v>0</v>
      </c>
      <c r="I428">
        <v>2.6900000572204599</v>
      </c>
      <c r="J428">
        <v>0</v>
      </c>
      <c r="K428">
        <v>0</v>
      </c>
      <c r="L428">
        <v>0</v>
      </c>
      <c r="M428">
        <v>166</v>
      </c>
      <c r="N428">
        <v>1274</v>
      </c>
      <c r="O428">
        <v>2517</v>
      </c>
      <c r="P428" t="str">
        <f t="shared" si="35"/>
        <v>Valid</v>
      </c>
      <c r="Q428" t="str">
        <f t="shared" si="32"/>
        <v>weekends</v>
      </c>
      <c r="R428" t="str" cm="1">
        <f t="array" ref="R428">_xlfn.IFS(
N428=MAX(K428,L428,M428,N428),"Sedentary",M428
=MAX(K428,L428,M428,N428),"Lightly Active",
L428=MAX(K428,L428,M428,N428),"Fairly Active",
K428=MAX(K428,L428,M428,N428),"Very Active"
)</f>
        <v>Sedentary</v>
      </c>
      <c r="S428" t="str">
        <f t="shared" si="33"/>
        <v>Sedentary</v>
      </c>
    </row>
    <row r="429" spans="1:19" x14ac:dyDescent="0.3">
      <c r="A429">
        <v>8583815059</v>
      </c>
      <c r="B429" s="1">
        <v>42463</v>
      </c>
      <c r="C429">
        <v>2380</v>
      </c>
      <c r="D429">
        <v>1.8600000143051101</v>
      </c>
      <c r="E429">
        <v>1.8600000143051101</v>
      </c>
      <c r="F429">
        <v>0</v>
      </c>
      <c r="G429">
        <v>0</v>
      </c>
      <c r="H429">
        <v>0</v>
      </c>
      <c r="I429">
        <v>1.8600000143051101</v>
      </c>
      <c r="J429">
        <v>0</v>
      </c>
      <c r="K429">
        <v>0</v>
      </c>
      <c r="L429">
        <v>0</v>
      </c>
      <c r="M429">
        <v>131</v>
      </c>
      <c r="N429">
        <v>1309</v>
      </c>
      <c r="O429">
        <v>2400</v>
      </c>
      <c r="P429" t="str">
        <f t="shared" si="35"/>
        <v>Valid</v>
      </c>
      <c r="Q429" t="str">
        <f t="shared" si="32"/>
        <v>weekends</v>
      </c>
      <c r="R429" t="str" cm="1">
        <f t="array" ref="R429">_xlfn.IFS(
N429=MAX(K429,L429,M429,N429),"Sedentary",M429
=MAX(K429,L429,M429,N429),"Lightly Active",
L429=MAX(K429,L429,M429,N429),"Fairly Active",
K429=MAX(K429,L429,M429,N429),"Very Active"
)</f>
        <v>Sedentary</v>
      </c>
      <c r="S429" t="str">
        <f t="shared" si="33"/>
        <v>Sedentary</v>
      </c>
    </row>
    <row r="430" spans="1:19" x14ac:dyDescent="0.3">
      <c r="A430">
        <v>8583815059</v>
      </c>
      <c r="B430" s="1">
        <v>42464</v>
      </c>
      <c r="C430">
        <v>3159</v>
      </c>
      <c r="D430">
        <v>2.46000003814697</v>
      </c>
      <c r="E430">
        <v>2.46000003814697</v>
      </c>
      <c r="F430">
        <v>0</v>
      </c>
      <c r="G430">
        <v>0</v>
      </c>
      <c r="H430">
        <v>0</v>
      </c>
      <c r="I430">
        <v>2.46000003814697</v>
      </c>
      <c r="J430">
        <v>0</v>
      </c>
      <c r="K430">
        <v>0</v>
      </c>
      <c r="L430">
        <v>0</v>
      </c>
      <c r="M430">
        <v>147</v>
      </c>
      <c r="N430">
        <v>1293</v>
      </c>
      <c r="O430">
        <v>2462</v>
      </c>
      <c r="P430" t="str">
        <f t="shared" si="35"/>
        <v>Valid</v>
      </c>
      <c r="Q430" t="str">
        <f t="shared" si="32"/>
        <v>weekdays</v>
      </c>
      <c r="R430" t="str" cm="1">
        <f t="array" ref="R430">_xlfn.IFS(
N430=MAX(K430,L430,M430,N430),"Sedentary",M430
=MAX(K430,L430,M430,N430),"Lightly Active",
L430=MAX(K430,L430,M430,N430),"Fairly Active",
K430=MAX(K430,L430,M430,N430),"Very Active"
)</f>
        <v>Sedentary</v>
      </c>
      <c r="S430" t="str">
        <f t="shared" si="33"/>
        <v>Sedentary</v>
      </c>
    </row>
    <row r="431" spans="1:19" x14ac:dyDescent="0.3">
      <c r="A431">
        <v>8583815059</v>
      </c>
      <c r="B431" s="1">
        <v>42465</v>
      </c>
      <c r="C431">
        <v>6835</v>
      </c>
      <c r="D431">
        <v>5.3299999237060502</v>
      </c>
      <c r="E431">
        <v>5.3299999237060502</v>
      </c>
      <c r="F431">
        <v>0</v>
      </c>
      <c r="G431">
        <v>0.37000000476837203</v>
      </c>
      <c r="H431">
        <v>0.730000019073486</v>
      </c>
      <c r="I431">
        <v>4.2399997711181596</v>
      </c>
      <c r="J431">
        <v>0</v>
      </c>
      <c r="K431">
        <v>5</v>
      </c>
      <c r="L431">
        <v>15</v>
      </c>
      <c r="M431">
        <v>212</v>
      </c>
      <c r="N431">
        <v>1208</v>
      </c>
      <c r="O431">
        <v>2786</v>
      </c>
      <c r="P431" t="str">
        <f t="shared" si="35"/>
        <v>Valid</v>
      </c>
      <c r="Q431" t="str">
        <f t="shared" si="32"/>
        <v>weekdays</v>
      </c>
      <c r="R431" t="str" cm="1">
        <f t="array" ref="R431">_xlfn.IFS(
N431=MAX(K431,L431,M431,N431),"Sedentary",M431
=MAX(K431,L431,M431,N431),"Lightly Active",
L431=MAX(K431,L431,M431,N431),"Fairly Active",
K431=MAX(K431,L431,M431,N431),"Very Active"
)</f>
        <v>Sedentary</v>
      </c>
      <c r="S431" t="str">
        <f t="shared" si="33"/>
        <v>Sedentary</v>
      </c>
    </row>
    <row r="432" spans="1:19" x14ac:dyDescent="0.3">
      <c r="A432">
        <v>8583815059</v>
      </c>
      <c r="B432" s="1">
        <v>42466</v>
      </c>
      <c r="C432">
        <v>2098</v>
      </c>
      <c r="D432">
        <v>1.6399999856948899</v>
      </c>
      <c r="E432">
        <v>1.6399999856948899</v>
      </c>
      <c r="F432">
        <v>0</v>
      </c>
      <c r="G432">
        <v>0</v>
      </c>
      <c r="H432">
        <v>0</v>
      </c>
      <c r="I432">
        <v>1.62999999523163</v>
      </c>
      <c r="J432">
        <v>0</v>
      </c>
      <c r="K432">
        <v>0</v>
      </c>
      <c r="L432">
        <v>0</v>
      </c>
      <c r="M432">
        <v>112</v>
      </c>
      <c r="N432">
        <v>1328</v>
      </c>
      <c r="O432">
        <v>2354</v>
      </c>
      <c r="P432" t="str">
        <f t="shared" si="35"/>
        <v>Valid</v>
      </c>
      <c r="Q432" t="str">
        <f t="shared" si="32"/>
        <v>weekdays</v>
      </c>
      <c r="R432" t="str" cm="1">
        <f t="array" ref="R432">_xlfn.IFS(
N432=MAX(K432,L432,M432,N432),"Sedentary",M432
=MAX(K432,L432,M432,N432),"Lightly Active",
L432=MAX(K432,L432,M432,N432),"Fairly Active",
K432=MAX(K432,L432,M432,N432),"Very Active"
)</f>
        <v>Sedentary</v>
      </c>
      <c r="S432" t="str">
        <f t="shared" si="33"/>
        <v>Sedentary</v>
      </c>
    </row>
    <row r="433" spans="1:19" x14ac:dyDescent="0.3">
      <c r="A433">
        <v>8583815059</v>
      </c>
      <c r="B433" s="1">
        <v>42467</v>
      </c>
      <c r="C433">
        <v>2816</v>
      </c>
      <c r="D433">
        <v>2.2000000476837198</v>
      </c>
      <c r="E433">
        <v>2.2000000476837198</v>
      </c>
      <c r="F433">
        <v>0</v>
      </c>
      <c r="G433">
        <v>0</v>
      </c>
      <c r="H433">
        <v>0</v>
      </c>
      <c r="I433">
        <v>2.2000000476837198</v>
      </c>
      <c r="J433">
        <v>0</v>
      </c>
      <c r="K433">
        <v>0</v>
      </c>
      <c r="L433">
        <v>0</v>
      </c>
      <c r="M433">
        <v>138</v>
      </c>
      <c r="N433">
        <v>1302</v>
      </c>
      <c r="O433">
        <v>2437</v>
      </c>
      <c r="P433" t="str">
        <f t="shared" si="35"/>
        <v>Valid</v>
      </c>
      <c r="Q433" t="str">
        <f t="shared" si="32"/>
        <v>weekdays</v>
      </c>
      <c r="R433" t="str" cm="1">
        <f t="array" ref="R433">_xlfn.IFS(
N433=MAX(K433,L433,M433,N433),"Sedentary",M433
=MAX(K433,L433,M433,N433),"Lightly Active",
L433=MAX(K433,L433,M433,N433),"Fairly Active",
K433=MAX(K433,L433,M433,N433),"Very Active"
)</f>
        <v>Sedentary</v>
      </c>
      <c r="S433" t="str">
        <f t="shared" si="33"/>
        <v>Sedentary</v>
      </c>
    </row>
    <row r="434" spans="1:19" x14ac:dyDescent="0.3">
      <c r="A434">
        <v>8583815059</v>
      </c>
      <c r="B434" s="1">
        <v>42468</v>
      </c>
      <c r="C434">
        <v>1408</v>
      </c>
      <c r="D434">
        <v>1.1000000238418599</v>
      </c>
      <c r="E434">
        <v>1.1000000238418599</v>
      </c>
      <c r="F434">
        <v>0</v>
      </c>
      <c r="G434">
        <v>0</v>
      </c>
      <c r="H434">
        <v>0</v>
      </c>
      <c r="I434">
        <v>1.1000000238418599</v>
      </c>
      <c r="J434">
        <v>0</v>
      </c>
      <c r="K434">
        <v>0</v>
      </c>
      <c r="L434">
        <v>0</v>
      </c>
      <c r="M434">
        <v>79</v>
      </c>
      <c r="N434">
        <v>1052</v>
      </c>
      <c r="O434">
        <v>1814</v>
      </c>
      <c r="P434" t="str">
        <f t="shared" si="35"/>
        <v>Valid</v>
      </c>
      <c r="Q434" t="str">
        <f t="shared" si="32"/>
        <v>weekdays</v>
      </c>
      <c r="R434" t="str" cm="1">
        <f t="array" ref="R434">_xlfn.IFS(
N434=MAX(K434,L434,M434,N434),"Sedentary",M434
=MAX(K434,L434,M434,N434),"Lightly Active",
L434=MAX(K434,L434,M434,N434),"Fairly Active",
K434=MAX(K434,L434,M434,N434),"Very Active"
)</f>
        <v>Sedentary</v>
      </c>
      <c r="S434" t="str">
        <f t="shared" si="33"/>
        <v>Sedentary</v>
      </c>
    </row>
    <row r="435" spans="1:19" x14ac:dyDescent="0.3">
      <c r="A435">
        <v>8792009665</v>
      </c>
      <c r="B435" s="1">
        <v>42461</v>
      </c>
      <c r="C435">
        <v>4592</v>
      </c>
      <c r="D435">
        <v>2.9400000572204599</v>
      </c>
      <c r="E435">
        <v>2.9400000572204599</v>
      </c>
      <c r="F435">
        <v>0</v>
      </c>
      <c r="G435">
        <v>0.10000000149011599</v>
      </c>
      <c r="H435">
        <v>0.140000000596046</v>
      </c>
      <c r="I435">
        <v>2.7000000476837198</v>
      </c>
      <c r="J435">
        <v>0</v>
      </c>
      <c r="K435">
        <v>4</v>
      </c>
      <c r="L435">
        <v>8</v>
      </c>
      <c r="M435">
        <v>176</v>
      </c>
      <c r="N435">
        <v>748</v>
      </c>
      <c r="O435">
        <v>2260</v>
      </c>
      <c r="P435" t="str">
        <f t="shared" si="35"/>
        <v>Valid</v>
      </c>
      <c r="Q435" t="str">
        <f t="shared" si="32"/>
        <v>weekdays</v>
      </c>
      <c r="R435" t="str" cm="1">
        <f t="array" ref="R435">_xlfn.IFS(
N435=MAX(K435,L435,M435,N435),"Sedentary",M435
=MAX(K435,L435,M435,N435),"Lightly Active",
L435=MAX(K435,L435,M435,N435),"Fairly Active",
K435=MAX(K435,L435,M435,N435),"Very Active"
)</f>
        <v>Sedentary</v>
      </c>
      <c r="S435" t="str">
        <f t="shared" si="33"/>
        <v>Sedentary</v>
      </c>
    </row>
    <row r="436" spans="1:19" x14ac:dyDescent="0.3">
      <c r="A436">
        <v>8792009665</v>
      </c>
      <c r="B436" s="1">
        <v>42462</v>
      </c>
      <c r="C436">
        <v>8452</v>
      </c>
      <c r="D436">
        <v>5.4099998474121103</v>
      </c>
      <c r="E436">
        <v>5.4099998474121103</v>
      </c>
      <c r="F436">
        <v>0</v>
      </c>
      <c r="G436">
        <v>0.259999990463257</v>
      </c>
      <c r="H436">
        <v>0.38999998569488498</v>
      </c>
      <c r="I436">
        <v>4.7600002288818404</v>
      </c>
      <c r="J436">
        <v>0</v>
      </c>
      <c r="K436">
        <v>9</v>
      </c>
      <c r="L436">
        <v>24</v>
      </c>
      <c r="M436">
        <v>328</v>
      </c>
      <c r="N436">
        <v>1079</v>
      </c>
      <c r="O436">
        <v>3004</v>
      </c>
      <c r="P436" t="str">
        <f t="shared" si="35"/>
        <v>Valid</v>
      </c>
      <c r="Q436" t="str">
        <f t="shared" si="32"/>
        <v>weekends</v>
      </c>
      <c r="R436" t="str" cm="1">
        <f t="array" ref="R436">_xlfn.IFS(
N436=MAX(K436,L436,M436,N436),"Sedentary",M436
=MAX(K436,L436,M436,N436),"Lightly Active",
L436=MAX(K436,L436,M436,N436),"Fairly Active",
K436=MAX(K436,L436,M436,N436),"Very Active"
)</f>
        <v>Sedentary</v>
      </c>
      <c r="S436" t="str">
        <f t="shared" si="33"/>
        <v>Sedentary</v>
      </c>
    </row>
    <row r="437" spans="1:19" x14ac:dyDescent="0.3">
      <c r="A437">
        <v>8792009665</v>
      </c>
      <c r="B437" s="1">
        <v>42463</v>
      </c>
      <c r="C437">
        <v>7238</v>
      </c>
      <c r="D437">
        <v>4.6300001144409197</v>
      </c>
      <c r="E437">
        <v>4.6300001144409197</v>
      </c>
      <c r="F437">
        <v>0</v>
      </c>
      <c r="G437">
        <v>0.109999999403954</v>
      </c>
      <c r="H437">
        <v>0.230000004172325</v>
      </c>
      <c r="I437">
        <v>4.28999996185303</v>
      </c>
      <c r="J437">
        <v>0</v>
      </c>
      <c r="K437">
        <v>2</v>
      </c>
      <c r="L437">
        <v>6</v>
      </c>
      <c r="M437">
        <v>279</v>
      </c>
      <c r="N437">
        <v>636</v>
      </c>
      <c r="O437">
        <v>2667</v>
      </c>
      <c r="P437" t="str">
        <f t="shared" si="35"/>
        <v>Valid</v>
      </c>
      <c r="Q437" t="str">
        <f t="shared" si="32"/>
        <v>weekends</v>
      </c>
      <c r="R437" t="str" cm="1">
        <f t="array" ref="R437">_xlfn.IFS(
N437=MAX(K437,L437,M437,N437),"Sedentary",M437
=MAX(K437,L437,M437,N437),"Lightly Active",
L437=MAX(K437,L437,M437,N437),"Fairly Active",
K437=MAX(K437,L437,M437,N437),"Very Active"
)</f>
        <v>Sedentary</v>
      </c>
      <c r="S437" t="str">
        <f t="shared" si="33"/>
        <v>Sedentary</v>
      </c>
    </row>
    <row r="438" spans="1:19" x14ac:dyDescent="0.3">
      <c r="A438">
        <v>8792009665</v>
      </c>
      <c r="B438" s="1">
        <v>42464</v>
      </c>
      <c r="C438">
        <v>3821</v>
      </c>
      <c r="D438">
        <v>2.4500000476837198</v>
      </c>
      <c r="E438">
        <v>2.4500000476837198</v>
      </c>
      <c r="F438">
        <v>0</v>
      </c>
      <c r="G438">
        <v>0</v>
      </c>
      <c r="H438">
        <v>0.21999999880790699</v>
      </c>
      <c r="I438">
        <v>2.2300000190734899</v>
      </c>
      <c r="J438">
        <v>0</v>
      </c>
      <c r="K438">
        <v>0</v>
      </c>
      <c r="L438">
        <v>9</v>
      </c>
      <c r="M438">
        <v>161</v>
      </c>
      <c r="N438">
        <v>675</v>
      </c>
      <c r="O438">
        <v>2229</v>
      </c>
      <c r="P438" t="str">
        <f t="shared" si="35"/>
        <v>Valid</v>
      </c>
      <c r="Q438" t="str">
        <f t="shared" si="32"/>
        <v>weekdays</v>
      </c>
      <c r="R438" t="str" cm="1">
        <f t="array" ref="R438">_xlfn.IFS(
N438=MAX(K438,L438,M438,N438),"Sedentary",M438
=MAX(K438,L438,M438,N438),"Lightly Active",
L438=MAX(K438,L438,M438,N438),"Fairly Active",
K438=MAX(K438,L438,M438,N438),"Very Active"
)</f>
        <v>Sedentary</v>
      </c>
      <c r="S438" t="str">
        <f t="shared" si="33"/>
        <v>Sedentary</v>
      </c>
    </row>
    <row r="439" spans="1:19" x14ac:dyDescent="0.3">
      <c r="A439">
        <v>8792009665</v>
      </c>
      <c r="B439" s="1">
        <v>42465</v>
      </c>
      <c r="C439">
        <v>2332</v>
      </c>
      <c r="D439">
        <v>1.4900000095367401</v>
      </c>
      <c r="E439">
        <v>1.4900000095367401</v>
      </c>
      <c r="F439">
        <v>0</v>
      </c>
      <c r="G439">
        <v>9.9999997764825804E-3</v>
      </c>
      <c r="H439">
        <v>0.18000000715255701</v>
      </c>
      <c r="I439">
        <v>1.29999995231628</v>
      </c>
      <c r="J439">
        <v>0</v>
      </c>
      <c r="K439">
        <v>1</v>
      </c>
      <c r="L439">
        <v>10</v>
      </c>
      <c r="M439">
        <v>111</v>
      </c>
      <c r="N439">
        <v>904</v>
      </c>
      <c r="O439">
        <v>2100</v>
      </c>
      <c r="P439" t="str">
        <f t="shared" si="35"/>
        <v>Valid</v>
      </c>
      <c r="Q439" t="str">
        <f t="shared" si="32"/>
        <v>weekdays</v>
      </c>
      <c r="R439" t="str" cm="1">
        <f t="array" ref="R439">_xlfn.IFS(
N439=MAX(K439,L439,M439,N439),"Sedentary",M439
=MAX(K439,L439,M439,N439),"Lightly Active",
L439=MAX(K439,L439,M439,N439),"Fairly Active",
K439=MAX(K439,L439,M439,N439),"Very Active"
)</f>
        <v>Sedentary</v>
      </c>
      <c r="S439" t="str">
        <f t="shared" si="33"/>
        <v>Sedentary</v>
      </c>
    </row>
    <row r="440" spans="1:19" x14ac:dyDescent="0.3">
      <c r="A440">
        <v>8792009665</v>
      </c>
      <c r="B440" s="1">
        <v>42466</v>
      </c>
      <c r="C440">
        <v>2121</v>
      </c>
      <c r="D440">
        <v>1.3600000143051101</v>
      </c>
      <c r="E440">
        <v>1.3600000143051101</v>
      </c>
      <c r="F440">
        <v>0</v>
      </c>
      <c r="G440">
        <v>0</v>
      </c>
      <c r="H440">
        <v>0</v>
      </c>
      <c r="I440">
        <v>1.3600000143051101</v>
      </c>
      <c r="J440">
        <v>0</v>
      </c>
      <c r="K440">
        <v>0</v>
      </c>
      <c r="L440">
        <v>0</v>
      </c>
      <c r="M440">
        <v>122</v>
      </c>
      <c r="N440">
        <v>855</v>
      </c>
      <c r="O440">
        <v>2114</v>
      </c>
      <c r="P440" t="str">
        <f t="shared" si="35"/>
        <v>Valid</v>
      </c>
      <c r="Q440" t="str">
        <f t="shared" si="32"/>
        <v>weekdays</v>
      </c>
      <c r="R440" t="str" cm="1">
        <f t="array" ref="R440">_xlfn.IFS(
N440=MAX(K440,L440,M440,N440),"Sedentary",M440
=MAX(K440,L440,M440,N440),"Lightly Active",
L440=MAX(K440,L440,M440,N440),"Fairly Active",
K440=MAX(K440,L440,M440,N440),"Very Active"
)</f>
        <v>Sedentary</v>
      </c>
      <c r="S440" t="str">
        <f t="shared" si="33"/>
        <v>Sedentary</v>
      </c>
    </row>
    <row r="441" spans="1:19" x14ac:dyDescent="0.3">
      <c r="A441">
        <v>8792009665</v>
      </c>
      <c r="B441" s="1">
        <v>42467</v>
      </c>
      <c r="C441">
        <v>1291</v>
      </c>
      <c r="D441">
        <v>0.82999998331069902</v>
      </c>
      <c r="E441">
        <v>0.82999998331069902</v>
      </c>
      <c r="F441">
        <v>0</v>
      </c>
      <c r="G441">
        <v>0</v>
      </c>
      <c r="H441">
        <v>0</v>
      </c>
      <c r="I441">
        <v>0.82999998331069902</v>
      </c>
      <c r="J441">
        <v>0</v>
      </c>
      <c r="K441">
        <v>0</v>
      </c>
      <c r="L441">
        <v>0</v>
      </c>
      <c r="M441">
        <v>77</v>
      </c>
      <c r="N441">
        <v>888</v>
      </c>
      <c r="O441">
        <v>1961</v>
      </c>
      <c r="P441" t="str">
        <f t="shared" si="35"/>
        <v>Valid</v>
      </c>
      <c r="Q441" t="str">
        <f t="shared" si="32"/>
        <v>weekdays</v>
      </c>
      <c r="R441" t="str" cm="1">
        <f t="array" ref="R441">_xlfn.IFS(
N441=MAX(K441,L441,M441,N441),"Sedentary",M441
=MAX(K441,L441,M441,N441),"Lightly Active",
L441=MAX(K441,L441,M441,N441),"Fairly Active",
K441=MAX(K441,L441,M441,N441),"Very Active"
)</f>
        <v>Sedentary</v>
      </c>
      <c r="S441" t="str">
        <f t="shared" si="33"/>
        <v>Sedentary</v>
      </c>
    </row>
    <row r="442" spans="1:19" x14ac:dyDescent="0.3">
      <c r="A442">
        <v>8792009665</v>
      </c>
      <c r="B442" s="1">
        <v>42468</v>
      </c>
      <c r="C442">
        <v>1467</v>
      </c>
      <c r="D442">
        <v>0.93999999761581399</v>
      </c>
      <c r="E442">
        <v>0.93999999761581399</v>
      </c>
      <c r="F442">
        <v>0</v>
      </c>
      <c r="G442">
        <v>0.10000000149011599</v>
      </c>
      <c r="H442">
        <v>0.20999999344348899</v>
      </c>
      <c r="I442">
        <v>0.62999999523162797</v>
      </c>
      <c r="J442">
        <v>0</v>
      </c>
      <c r="K442">
        <v>2</v>
      </c>
      <c r="L442">
        <v>8</v>
      </c>
      <c r="M442">
        <v>71</v>
      </c>
      <c r="N442">
        <v>912</v>
      </c>
      <c r="O442">
        <v>1953</v>
      </c>
      <c r="P442" t="str">
        <f t="shared" si="35"/>
        <v>Valid</v>
      </c>
      <c r="Q442" t="str">
        <f t="shared" si="32"/>
        <v>weekdays</v>
      </c>
      <c r="R442" t="str" cm="1">
        <f t="array" ref="R442">_xlfn.IFS(
N442=MAX(K442,L442,M442,N442),"Sedentary",M442
=MAX(K442,L442,M442,N442),"Lightly Active",
L442=MAX(K442,L442,M442,N442),"Fairly Active",
K442=MAX(K442,L442,M442,N442),"Very Active"
)</f>
        <v>Sedentary</v>
      </c>
      <c r="S442" t="str">
        <f t="shared" si="33"/>
        <v>Sedentary</v>
      </c>
    </row>
    <row r="443" spans="1:19" x14ac:dyDescent="0.3">
      <c r="A443">
        <v>8792009665</v>
      </c>
      <c r="B443" s="1">
        <v>42469</v>
      </c>
      <c r="C443">
        <v>1022</v>
      </c>
      <c r="D443">
        <v>0.64999997615814198</v>
      </c>
      <c r="E443">
        <v>0.64999997615814198</v>
      </c>
      <c r="F443">
        <v>0</v>
      </c>
      <c r="G443">
        <v>0</v>
      </c>
      <c r="H443">
        <v>0</v>
      </c>
      <c r="I443">
        <v>0.64999997615814198</v>
      </c>
      <c r="J443">
        <v>0</v>
      </c>
      <c r="K443">
        <v>0</v>
      </c>
      <c r="L443">
        <v>0</v>
      </c>
      <c r="M443">
        <v>63</v>
      </c>
      <c r="N443">
        <v>739</v>
      </c>
      <c r="O443">
        <v>1890</v>
      </c>
      <c r="P443" t="str">
        <f t="shared" si="35"/>
        <v>Valid</v>
      </c>
      <c r="Q443" t="str">
        <f t="shared" si="32"/>
        <v>weekends</v>
      </c>
      <c r="R443" t="str" cm="1">
        <f t="array" ref="R443">_xlfn.IFS(
N443=MAX(K443,L443,M443,N443),"Sedentary",M443
=MAX(K443,L443,M443,N443),"Lightly Active",
L443=MAX(K443,L443,M443,N443),"Fairly Active",
K443=MAX(K443,L443,M443,N443),"Very Active"
)</f>
        <v>Sedentary</v>
      </c>
      <c r="S443" t="str">
        <f t="shared" si="33"/>
        <v>Sedentary</v>
      </c>
    </row>
    <row r="444" spans="1:19" x14ac:dyDescent="0.3">
      <c r="A444">
        <v>8792009665</v>
      </c>
      <c r="B444" s="1">
        <v>42470</v>
      </c>
      <c r="C444">
        <v>4605</v>
      </c>
      <c r="D444">
        <v>2.9500000476837198</v>
      </c>
      <c r="E444">
        <v>2.9500000476837198</v>
      </c>
      <c r="F444">
        <v>0</v>
      </c>
      <c r="G444">
        <v>0</v>
      </c>
      <c r="H444">
        <v>0</v>
      </c>
      <c r="I444">
        <v>2.9500000476837198</v>
      </c>
      <c r="J444">
        <v>0</v>
      </c>
      <c r="K444">
        <v>0</v>
      </c>
      <c r="L444">
        <v>0</v>
      </c>
      <c r="M444">
        <v>179</v>
      </c>
      <c r="N444">
        <v>1261</v>
      </c>
      <c r="O444">
        <v>2253</v>
      </c>
      <c r="P444" t="str">
        <f t="shared" si="35"/>
        <v>Valid</v>
      </c>
      <c r="Q444" t="str">
        <f t="shared" si="32"/>
        <v>weekends</v>
      </c>
      <c r="R444" t="str" cm="1">
        <f t="array" ref="R444">_xlfn.IFS(
N444=MAX(K444,L444,M444,N444),"Sedentary",M444
=MAX(K444,L444,M444,N444),"Lightly Active",
L444=MAX(K444,L444,M444,N444),"Fairly Active",
K444=MAX(K444,L444,M444,N444),"Very Active"
)</f>
        <v>Sedentary</v>
      </c>
      <c r="S444" t="str">
        <f t="shared" si="33"/>
        <v>Sedentary</v>
      </c>
    </row>
    <row r="445" spans="1:19" x14ac:dyDescent="0.3">
      <c r="A445">
        <v>8792009665</v>
      </c>
      <c r="B445" s="1">
        <v>42471</v>
      </c>
      <c r="C445">
        <v>178</v>
      </c>
      <c r="D445">
        <v>0.109999999403954</v>
      </c>
      <c r="E445">
        <v>0.109999999403954</v>
      </c>
      <c r="F445">
        <v>0</v>
      </c>
      <c r="G445">
        <v>0</v>
      </c>
      <c r="H445">
        <v>0</v>
      </c>
      <c r="I445">
        <v>0.109999999403954</v>
      </c>
      <c r="J445">
        <v>0</v>
      </c>
      <c r="K445">
        <v>0</v>
      </c>
      <c r="L445">
        <v>0</v>
      </c>
      <c r="M445">
        <v>12</v>
      </c>
      <c r="N445">
        <v>1428</v>
      </c>
      <c r="O445">
        <v>1725</v>
      </c>
      <c r="P445" t="str">
        <f t="shared" si="35"/>
        <v>Valid</v>
      </c>
      <c r="Q445" t="str">
        <f t="shared" si="32"/>
        <v>weekdays</v>
      </c>
      <c r="R445" t="str" cm="1">
        <f t="array" ref="R445">_xlfn.IFS(
N445=MAX(K445,L445,M445,N445),"Sedentary",M445
=MAX(K445,L445,M445,N445),"Lightly Active",
L445=MAX(K445,L445,M445,N445),"Fairly Active",
K445=MAX(K445,L445,M445,N445),"Very Active"
)</f>
        <v>Sedentary</v>
      </c>
      <c r="S445" t="str">
        <f t="shared" si="33"/>
        <v>Sedentary</v>
      </c>
    </row>
    <row r="446" spans="1:19" x14ac:dyDescent="0.3">
      <c r="A446">
        <v>8792009665</v>
      </c>
      <c r="B446" s="1">
        <v>42472</v>
      </c>
      <c r="C446">
        <v>20</v>
      </c>
      <c r="D446">
        <v>9.9999997764825804E-3</v>
      </c>
      <c r="E446">
        <v>9.9999997764825804E-3</v>
      </c>
      <c r="F446">
        <v>0</v>
      </c>
      <c r="G446">
        <v>0</v>
      </c>
      <c r="H446">
        <v>0</v>
      </c>
      <c r="I446">
        <v>9.9999997764825804E-3</v>
      </c>
      <c r="J446">
        <v>0</v>
      </c>
      <c r="K446">
        <v>0</v>
      </c>
      <c r="L446">
        <v>0</v>
      </c>
      <c r="M446">
        <v>6</v>
      </c>
      <c r="N446">
        <v>598</v>
      </c>
      <c r="O446">
        <v>728</v>
      </c>
      <c r="P446" t="str">
        <f t="shared" si="35"/>
        <v>Valid</v>
      </c>
      <c r="Q446" t="str">
        <f t="shared" si="32"/>
        <v>weekdays</v>
      </c>
      <c r="R446" t="str" cm="1">
        <f t="array" ref="R446">_xlfn.IFS(
N446=MAX(K446,L446,M446,N446),"Sedentary",M446
=MAX(K446,L446,M446,N446),"Lightly Active",
L446=MAX(K446,L446,M446,N446),"Fairly Active",
K446=MAX(K446,L446,M446,N446),"Very Active"
)</f>
        <v>Sedentary</v>
      </c>
      <c r="S446" t="str">
        <f t="shared" si="33"/>
        <v>Sedentary</v>
      </c>
    </row>
    <row r="447" spans="1:19" x14ac:dyDescent="0.3">
      <c r="A447">
        <v>8877689391</v>
      </c>
      <c r="B447" s="1">
        <v>42461</v>
      </c>
      <c r="C447">
        <v>18700</v>
      </c>
      <c r="D447">
        <v>15.819999694824199</v>
      </c>
      <c r="E447">
        <v>15.819999694824199</v>
      </c>
      <c r="F447">
        <v>0</v>
      </c>
      <c r="G447">
        <v>8.6999998092651403</v>
      </c>
      <c r="H447">
        <v>0.15999999642372101</v>
      </c>
      <c r="I447">
        <v>6.9099998474121103</v>
      </c>
      <c r="J447">
        <v>0</v>
      </c>
      <c r="K447">
        <v>67</v>
      </c>
      <c r="L447">
        <v>3</v>
      </c>
      <c r="M447">
        <v>247</v>
      </c>
      <c r="N447">
        <v>1123</v>
      </c>
      <c r="O447">
        <v>3527</v>
      </c>
      <c r="P447" t="str">
        <f t="shared" si="35"/>
        <v>Valid</v>
      </c>
      <c r="Q447" t="str">
        <f t="shared" si="32"/>
        <v>weekdays</v>
      </c>
      <c r="R447" t="str" cm="1">
        <f t="array" ref="R447">_xlfn.IFS(
N447=MAX(K447,L447,M447,N447),"Sedentary",M447
=MAX(K447,L447,M447,N447),"Lightly Active",
L447=MAX(K447,L447,M447,N447),"Fairly Active",
K447=MAX(K447,L447,M447,N447),"Very Active"
)</f>
        <v>Sedentary</v>
      </c>
      <c r="S447" t="str">
        <f t="shared" si="33"/>
        <v>Sedentary</v>
      </c>
    </row>
    <row r="448" spans="1:19" x14ac:dyDescent="0.3">
      <c r="A448">
        <v>8877689391</v>
      </c>
      <c r="B448" s="1">
        <v>42462</v>
      </c>
      <c r="C448">
        <v>27572</v>
      </c>
      <c r="D448">
        <v>23.389999389648398</v>
      </c>
      <c r="E448">
        <v>23.389999389648398</v>
      </c>
      <c r="F448">
        <v>0</v>
      </c>
      <c r="G448">
        <v>14.7200002670288</v>
      </c>
      <c r="H448">
        <v>1.21000003814697</v>
      </c>
      <c r="I448">
        <v>7.3400001525878897</v>
      </c>
      <c r="J448">
        <v>9.9999997764825804E-3</v>
      </c>
      <c r="K448">
        <v>116</v>
      </c>
      <c r="L448">
        <v>24</v>
      </c>
      <c r="M448">
        <v>260</v>
      </c>
      <c r="N448">
        <v>1040</v>
      </c>
      <c r="O448">
        <v>4220</v>
      </c>
      <c r="P448" t="str">
        <f t="shared" si="35"/>
        <v>Valid</v>
      </c>
      <c r="Q448" t="str">
        <f t="shared" si="32"/>
        <v>weekends</v>
      </c>
      <c r="R448" t="str" cm="1">
        <f t="array" ref="R448">_xlfn.IFS(
N448=MAX(K448,L448,M448,N448),"Sedentary",M448
=MAX(K448,L448,M448,N448),"Lightly Active",
L448=MAX(K448,L448,M448,N448),"Fairly Active",
K448=MAX(K448,L448,M448,N448),"Very Active"
)</f>
        <v>Sedentary</v>
      </c>
      <c r="S448" t="str">
        <f t="shared" si="33"/>
        <v>Sedentary</v>
      </c>
    </row>
    <row r="449" spans="1:19" x14ac:dyDescent="0.3">
      <c r="A449">
        <v>8877689391</v>
      </c>
      <c r="B449" s="1">
        <v>42463</v>
      </c>
      <c r="C449">
        <v>15260</v>
      </c>
      <c r="D449">
        <v>8.1899995803833008</v>
      </c>
      <c r="E449">
        <v>8.1899995803833008</v>
      </c>
      <c r="F449">
        <v>0</v>
      </c>
      <c r="G449">
        <v>1.79999995231628</v>
      </c>
      <c r="H449">
        <v>0.75</v>
      </c>
      <c r="I449">
        <v>5.5700001716613796</v>
      </c>
      <c r="J449">
        <v>0</v>
      </c>
      <c r="K449">
        <v>106</v>
      </c>
      <c r="L449">
        <v>17</v>
      </c>
      <c r="M449">
        <v>259</v>
      </c>
      <c r="N449">
        <v>1058</v>
      </c>
      <c r="O449">
        <v>3864</v>
      </c>
      <c r="P449" t="str">
        <f t="shared" si="35"/>
        <v>Valid</v>
      </c>
      <c r="Q449" t="str">
        <f t="shared" si="32"/>
        <v>weekends</v>
      </c>
      <c r="R449" t="str" cm="1">
        <f t="array" ref="R449">_xlfn.IFS(
N449=MAX(K449,L449,M449,N449),"Sedentary",M449
=MAX(K449,L449,M449,N449),"Lightly Active",
L449=MAX(K449,L449,M449,N449),"Fairly Active",
K449=MAX(K449,L449,M449,N449),"Very Active"
)</f>
        <v>Sedentary</v>
      </c>
      <c r="S449" t="str">
        <f t="shared" si="33"/>
        <v>Sedentary</v>
      </c>
    </row>
    <row r="450" spans="1:19" x14ac:dyDescent="0.3">
      <c r="A450">
        <v>8877689391</v>
      </c>
      <c r="B450" s="1">
        <v>42464</v>
      </c>
      <c r="C450">
        <v>20779</v>
      </c>
      <c r="D450">
        <v>18.409999847412099</v>
      </c>
      <c r="E450">
        <v>18.409999847412099</v>
      </c>
      <c r="F450">
        <v>0</v>
      </c>
      <c r="G450">
        <v>11.7299995422363</v>
      </c>
      <c r="H450">
        <v>0.64999997615814198</v>
      </c>
      <c r="I450">
        <v>6</v>
      </c>
      <c r="J450">
        <v>0</v>
      </c>
      <c r="K450">
        <v>78</v>
      </c>
      <c r="L450">
        <v>16</v>
      </c>
      <c r="M450">
        <v>208</v>
      </c>
      <c r="N450">
        <v>1138</v>
      </c>
      <c r="O450">
        <v>3662</v>
      </c>
      <c r="P450" t="str">
        <f t="shared" si="35"/>
        <v>Valid</v>
      </c>
      <c r="Q450" t="str">
        <f t="shared" si="32"/>
        <v>weekdays</v>
      </c>
      <c r="R450" t="str" cm="1">
        <f t="array" ref="R450">_xlfn.IFS(
N450=MAX(K450,L450,M450,N450),"Sedentary",M450
=MAX(K450,L450,M450,N450),"Lightly Active",
L450=MAX(K450,L450,M450,N450),"Fairly Active",
K450=MAX(K450,L450,M450,N450),"Very Active"
)</f>
        <v>Sedentary</v>
      </c>
      <c r="S450" t="str">
        <f t="shared" si="33"/>
        <v>Sedentary</v>
      </c>
    </row>
    <row r="451" spans="1:19" x14ac:dyDescent="0.3">
      <c r="A451">
        <v>8877689391</v>
      </c>
      <c r="B451" s="1">
        <v>42465</v>
      </c>
      <c r="C451">
        <v>10695</v>
      </c>
      <c r="D451">
        <v>8.1199998855590803</v>
      </c>
      <c r="E451">
        <v>8.1199998855590803</v>
      </c>
      <c r="F451">
        <v>0</v>
      </c>
      <c r="G451">
        <v>0.769999980926514</v>
      </c>
      <c r="H451">
        <v>0.18000000715255701</v>
      </c>
      <c r="I451">
        <v>7.0900001525878897</v>
      </c>
      <c r="J451">
        <v>9.9999997764825804E-3</v>
      </c>
      <c r="K451">
        <v>10</v>
      </c>
      <c r="L451">
        <v>3</v>
      </c>
      <c r="M451">
        <v>246</v>
      </c>
      <c r="N451">
        <v>1181</v>
      </c>
      <c r="O451">
        <v>2834</v>
      </c>
      <c r="P451" t="str">
        <f t="shared" si="35"/>
        <v>Valid</v>
      </c>
      <c r="Q451" t="str">
        <f t="shared" ref="Q451:Q458" si="36">IF(WEEKDAY(B451,2)&gt;5,"weekends","weekdays")</f>
        <v>weekdays</v>
      </c>
      <c r="R451" t="str" cm="1">
        <f t="array" ref="R451">_xlfn.IFS(
N451=MAX(K451,L451,M451,N451),"Sedentary",M451
=MAX(K451,L451,M451,N451),"Lightly Active",
L451=MAX(K451,L451,M451,N451),"Fairly Active",
K451=MAX(K451,L451,M451,N451),"Very Active"
)</f>
        <v>Sedentary</v>
      </c>
      <c r="S451" t="str">
        <f t="shared" ref="S451:S458" si="37">IF(N452&gt;(K452+L452+M452),"Sedentary","Active")</f>
        <v>Sedentary</v>
      </c>
    </row>
    <row r="452" spans="1:19" x14ac:dyDescent="0.3">
      <c r="A452">
        <v>8877689391</v>
      </c>
      <c r="B452" s="1">
        <v>42466</v>
      </c>
      <c r="C452">
        <v>24136</v>
      </c>
      <c r="D452">
        <v>20.909999847412099</v>
      </c>
      <c r="E452">
        <v>20.909999847412099</v>
      </c>
      <c r="F452">
        <v>0</v>
      </c>
      <c r="G452">
        <v>12.2200002670288</v>
      </c>
      <c r="H452">
        <v>0.54000002145767201</v>
      </c>
      <c r="I452">
        <v>8.0799999237060494</v>
      </c>
      <c r="J452">
        <v>0</v>
      </c>
      <c r="K452">
        <v>87</v>
      </c>
      <c r="L452">
        <v>16</v>
      </c>
      <c r="M452">
        <v>318</v>
      </c>
      <c r="N452">
        <v>1019</v>
      </c>
      <c r="O452">
        <v>4039</v>
      </c>
      <c r="P452" t="str">
        <f t="shared" si="35"/>
        <v>Valid</v>
      </c>
      <c r="Q452" t="str">
        <f t="shared" si="36"/>
        <v>weekdays</v>
      </c>
      <c r="R452" t="str" cm="1">
        <f t="array" ref="R452">_xlfn.IFS(
N452=MAX(K452,L452,M452,N452),"Sedentary",M452
=MAX(K452,L452,M452,N452),"Lightly Active",
L452=MAX(K452,L452,M452,N452),"Fairly Active",
K452=MAX(K452,L452,M452,N452),"Very Active"
)</f>
        <v>Sedentary</v>
      </c>
      <c r="S452" t="str">
        <f t="shared" si="37"/>
        <v>Sedentary</v>
      </c>
    </row>
    <row r="453" spans="1:19" x14ac:dyDescent="0.3">
      <c r="A453">
        <v>8877689391</v>
      </c>
      <c r="B453" s="1">
        <v>42467</v>
      </c>
      <c r="C453">
        <v>10910</v>
      </c>
      <c r="D453">
        <v>8.4200000762939506</v>
      </c>
      <c r="E453">
        <v>8.4200000762939506</v>
      </c>
      <c r="F453">
        <v>0</v>
      </c>
      <c r="G453">
        <v>2.96000003814697</v>
      </c>
      <c r="H453">
        <v>0.38999998569488498</v>
      </c>
      <c r="I453">
        <v>5.0300002098083496</v>
      </c>
      <c r="J453">
        <v>0</v>
      </c>
      <c r="K453">
        <v>32</v>
      </c>
      <c r="L453">
        <v>11</v>
      </c>
      <c r="M453">
        <v>212</v>
      </c>
      <c r="N453">
        <v>1185</v>
      </c>
      <c r="O453">
        <v>2947</v>
      </c>
      <c r="P453" t="str">
        <f t="shared" si="35"/>
        <v>Valid</v>
      </c>
      <c r="Q453" t="str">
        <f t="shared" si="36"/>
        <v>weekdays</v>
      </c>
      <c r="R453" t="str" cm="1">
        <f t="array" ref="R453">_xlfn.IFS(
N453=MAX(K453,L453,M453,N453),"Sedentary",M453
=MAX(K453,L453,M453,N453),"Lightly Active",
L453=MAX(K453,L453,M453,N453),"Fairly Active",
K453=MAX(K453,L453,M453,N453),"Very Active"
)</f>
        <v>Sedentary</v>
      </c>
      <c r="S453" t="str">
        <f t="shared" si="37"/>
        <v>Sedentary</v>
      </c>
    </row>
    <row r="454" spans="1:19" x14ac:dyDescent="0.3">
      <c r="A454">
        <v>8877689391</v>
      </c>
      <c r="B454" s="1">
        <v>42468</v>
      </c>
      <c r="C454">
        <v>23014</v>
      </c>
      <c r="D454">
        <v>20.389999389648398</v>
      </c>
      <c r="E454">
        <v>20.389999389648398</v>
      </c>
      <c r="F454">
        <v>0</v>
      </c>
      <c r="G454">
        <v>11.1000003814697</v>
      </c>
      <c r="H454">
        <v>0.62999999523162797</v>
      </c>
      <c r="I454">
        <v>8.6199998855590803</v>
      </c>
      <c r="J454">
        <v>0</v>
      </c>
      <c r="K454">
        <v>70</v>
      </c>
      <c r="L454">
        <v>29</v>
      </c>
      <c r="M454">
        <v>359</v>
      </c>
      <c r="N454">
        <v>982</v>
      </c>
      <c r="O454">
        <v>4196</v>
      </c>
      <c r="P454" t="str">
        <f t="shared" si="35"/>
        <v>Valid</v>
      </c>
      <c r="Q454" t="str">
        <f t="shared" si="36"/>
        <v>weekdays</v>
      </c>
      <c r="R454" t="str" cm="1">
        <f t="array" ref="R454">_xlfn.IFS(
N454=MAX(K454,L454,M454,N454),"Sedentary",M454
=MAX(K454,L454,M454,N454),"Lightly Active",
L454=MAX(K454,L454,M454,N454),"Fairly Active",
K454=MAX(K454,L454,M454,N454),"Very Active"
)</f>
        <v>Sedentary</v>
      </c>
      <c r="S454" t="str">
        <f t="shared" si="37"/>
        <v>Sedentary</v>
      </c>
    </row>
    <row r="455" spans="1:19" x14ac:dyDescent="0.3">
      <c r="A455">
        <v>8877689391</v>
      </c>
      <c r="B455" s="1">
        <v>42469</v>
      </c>
      <c r="C455">
        <v>16470</v>
      </c>
      <c r="D455">
        <v>8.0699996948242205</v>
      </c>
      <c r="E455">
        <v>8.0699996948242205</v>
      </c>
      <c r="F455">
        <v>0</v>
      </c>
      <c r="G455">
        <v>0</v>
      </c>
      <c r="H455">
        <v>1.9999999552965199E-2</v>
      </c>
      <c r="I455">
        <v>8.0200004577636701</v>
      </c>
      <c r="J455">
        <v>0</v>
      </c>
      <c r="K455">
        <v>90</v>
      </c>
      <c r="L455">
        <v>9</v>
      </c>
      <c r="M455">
        <v>289</v>
      </c>
      <c r="N455">
        <v>1052</v>
      </c>
      <c r="O455">
        <v>3841</v>
      </c>
      <c r="P455" t="str">
        <f t="shared" si="35"/>
        <v>Valid</v>
      </c>
      <c r="Q455" t="str">
        <f t="shared" si="36"/>
        <v>weekends</v>
      </c>
      <c r="R455" t="str" cm="1">
        <f t="array" ref="R455">_xlfn.IFS(
N455=MAX(K455,L455,M455,N455),"Sedentary",M455
=MAX(K455,L455,M455,N455),"Lightly Active",
L455=MAX(K455,L455,M455,N455),"Fairly Active",
K455=MAX(K455,L455,M455,N455),"Very Active"
)</f>
        <v>Sedentary</v>
      </c>
      <c r="S455" t="str">
        <f t="shared" si="37"/>
        <v>Sedentary</v>
      </c>
    </row>
    <row r="456" spans="1:19" x14ac:dyDescent="0.3">
      <c r="A456">
        <v>8877689391</v>
      </c>
      <c r="B456" s="1">
        <v>42470</v>
      </c>
      <c r="C456">
        <v>28497</v>
      </c>
      <c r="D456">
        <v>27.530000686645501</v>
      </c>
      <c r="E456">
        <v>27.530000686645501</v>
      </c>
      <c r="F456">
        <v>0</v>
      </c>
      <c r="G456">
        <v>21.920000076293899</v>
      </c>
      <c r="H456">
        <v>1.12000000476837</v>
      </c>
      <c r="I456">
        <v>4.46000003814697</v>
      </c>
      <c r="J456">
        <v>0</v>
      </c>
      <c r="K456">
        <v>128</v>
      </c>
      <c r="L456">
        <v>46</v>
      </c>
      <c r="M456">
        <v>211</v>
      </c>
      <c r="N456">
        <v>1055</v>
      </c>
      <c r="O456">
        <v>4526</v>
      </c>
      <c r="P456" t="str">
        <f t="shared" si="35"/>
        <v>Valid</v>
      </c>
      <c r="Q456" t="str">
        <f t="shared" si="36"/>
        <v>weekends</v>
      </c>
      <c r="R456" t="str" cm="1">
        <f t="array" ref="R456">_xlfn.IFS(
N456=MAX(K456,L456,M456,N456),"Sedentary",M456
=MAX(K456,L456,M456,N456),"Lightly Active",
L456=MAX(K456,L456,M456,N456),"Fairly Active",
K456=MAX(K456,L456,M456,N456),"Very Active"
)</f>
        <v>Sedentary</v>
      </c>
      <c r="S456" t="str">
        <f t="shared" si="37"/>
        <v>Sedentary</v>
      </c>
    </row>
    <row r="457" spans="1:19" x14ac:dyDescent="0.3">
      <c r="A457">
        <v>8877689391</v>
      </c>
      <c r="B457" s="1">
        <v>42471</v>
      </c>
      <c r="C457">
        <v>10622</v>
      </c>
      <c r="D457">
        <v>8.0600004196166992</v>
      </c>
      <c r="E457">
        <v>8.0600004196166992</v>
      </c>
      <c r="F457">
        <v>0</v>
      </c>
      <c r="G457">
        <v>1.4700000286102299</v>
      </c>
      <c r="H457">
        <v>0.15000000596046401</v>
      </c>
      <c r="I457">
        <v>6.3699998855590803</v>
      </c>
      <c r="J457">
        <v>9.9999997764825804E-3</v>
      </c>
      <c r="K457">
        <v>18</v>
      </c>
      <c r="L457">
        <v>7</v>
      </c>
      <c r="M457">
        <v>225</v>
      </c>
      <c r="N457">
        <v>1190</v>
      </c>
      <c r="O457">
        <v>2820</v>
      </c>
      <c r="P457" t="str">
        <f t="shared" si="35"/>
        <v>Valid</v>
      </c>
      <c r="Q457" t="str">
        <f t="shared" si="36"/>
        <v>weekdays</v>
      </c>
      <c r="R457" t="str" cm="1">
        <f t="array" ref="R457">_xlfn.IFS(
N457=MAX(K457,L457,M457,N457),"Sedentary",M457
=MAX(K457,L457,M457,N457),"Lightly Active",
L457=MAX(K457,L457,M457,N457),"Fairly Active",
K457=MAX(K457,L457,M457,N457),"Very Active"
)</f>
        <v>Sedentary</v>
      </c>
      <c r="S457" t="str">
        <f t="shared" si="37"/>
        <v>Sedentary</v>
      </c>
    </row>
    <row r="458" spans="1:19" x14ac:dyDescent="0.3">
      <c r="A458">
        <v>8877689391</v>
      </c>
      <c r="B458" s="1">
        <v>42472</v>
      </c>
      <c r="C458">
        <v>2350</v>
      </c>
      <c r="D458">
        <v>1.7799999713897701</v>
      </c>
      <c r="E458">
        <v>1.7799999713897701</v>
      </c>
      <c r="F458">
        <v>0</v>
      </c>
      <c r="G458">
        <v>0</v>
      </c>
      <c r="H458">
        <v>0</v>
      </c>
      <c r="I458">
        <v>1.7799999713897701</v>
      </c>
      <c r="J458">
        <v>0</v>
      </c>
      <c r="K458">
        <v>0</v>
      </c>
      <c r="L458">
        <v>0</v>
      </c>
      <c r="M458">
        <v>58</v>
      </c>
      <c r="N458">
        <v>531</v>
      </c>
      <c r="O458">
        <v>938</v>
      </c>
      <c r="P458" t="str">
        <f t="shared" si="35"/>
        <v>Valid</v>
      </c>
      <c r="Q458" t="str">
        <f t="shared" si="36"/>
        <v>weekdays</v>
      </c>
      <c r="R458" t="str" cm="1">
        <f t="array" ref="R458">_xlfn.IFS(
N458=MAX(K458,L458,M458,N458),"Sedentary",M458
=MAX(K458,L458,M458,N458),"Lightly Active",
L458=MAX(K458,L458,M458,N458),"Fairly Active",
K458=MAX(K458,L458,M458,N458),"Very Active"
)</f>
        <v>Sedentary</v>
      </c>
      <c r="S458" t="str">
        <f t="shared" si="37"/>
        <v>Active</v>
      </c>
    </row>
  </sheetData>
  <autoFilter ref="A1:S458" xr:uid="{191B21F5-9955-42CC-9F47-8233BF619398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EFC3-0DC3-4E49-AE51-7620646334C0}">
  <dimension ref="A1:I39"/>
  <sheetViews>
    <sheetView workbookViewId="0"/>
  </sheetViews>
  <sheetFormatPr defaultRowHeight="14.4" x14ac:dyDescent="0.3"/>
  <cols>
    <col min="1" max="1" width="12.44140625" bestFit="1" customWidth="1"/>
    <col min="2" max="2" width="18.88671875" bestFit="1" customWidth="1"/>
    <col min="3" max="3" width="16.77734375" bestFit="1" customWidth="1"/>
    <col min="4" max="4" width="25.109375" bestFit="1" customWidth="1"/>
    <col min="6" max="6" width="12.44140625" bestFit="1" customWidth="1"/>
    <col min="7" max="7" width="18.88671875" bestFit="1" customWidth="1"/>
    <col min="8" max="8" width="16.77734375" bestFit="1" customWidth="1"/>
    <col min="9" max="9" width="25.109375" bestFit="1" customWidth="1"/>
    <col min="10" max="11" width="2" bestFit="1" customWidth="1"/>
    <col min="12" max="17" width="3" bestFit="1" customWidth="1"/>
    <col min="18" max="32" width="4" bestFit="1" customWidth="1"/>
    <col min="33" max="270" width="5" bestFit="1" customWidth="1"/>
    <col min="271" max="396" width="6" bestFit="1" customWidth="1"/>
    <col min="397" max="397" width="10.5546875" bestFit="1" customWidth="1"/>
  </cols>
  <sheetData>
    <row r="1" spans="1:9" x14ac:dyDescent="0.3">
      <c r="A1" s="2" t="s">
        <v>15</v>
      </c>
      <c r="B1" t="s">
        <v>23</v>
      </c>
      <c r="G1" s="2" t="s">
        <v>15</v>
      </c>
      <c r="H1" t="s">
        <v>23</v>
      </c>
    </row>
    <row r="3" spans="1:9" x14ac:dyDescent="0.3">
      <c r="A3" s="2" t="s">
        <v>16</v>
      </c>
      <c r="B3" t="s">
        <v>19</v>
      </c>
      <c r="C3" t="s">
        <v>20</v>
      </c>
      <c r="D3" t="s">
        <v>21</v>
      </c>
      <c r="F3" s="2" t="s">
        <v>15</v>
      </c>
      <c r="G3" t="s">
        <v>23</v>
      </c>
    </row>
    <row r="4" spans="1:9" x14ac:dyDescent="0.3">
      <c r="A4" s="3">
        <v>1503960366</v>
      </c>
      <c r="B4" s="6">
        <v>11640.526315789473</v>
      </c>
      <c r="C4" s="6">
        <v>1796.2105263157894</v>
      </c>
      <c r="D4" s="6">
        <v>809.84210526315792</v>
      </c>
    </row>
    <row r="5" spans="1:9" x14ac:dyDescent="0.3">
      <c r="A5" s="3">
        <v>1624580081</v>
      </c>
      <c r="B5" s="6">
        <v>4226.2631578947367</v>
      </c>
      <c r="C5" s="6">
        <v>1352.8947368421052</v>
      </c>
      <c r="D5" s="6">
        <v>1278.3157894736842</v>
      </c>
      <c r="F5" s="2" t="s">
        <v>16</v>
      </c>
      <c r="G5" t="s">
        <v>19</v>
      </c>
      <c r="H5" t="s">
        <v>20</v>
      </c>
      <c r="I5" t="s">
        <v>21</v>
      </c>
    </row>
    <row r="6" spans="1:9" x14ac:dyDescent="0.3">
      <c r="A6" s="3">
        <v>1644430081</v>
      </c>
      <c r="B6" s="6">
        <v>9274.7999999999993</v>
      </c>
      <c r="C6" s="6">
        <v>2916.4</v>
      </c>
      <c r="D6" s="6">
        <v>1034.2</v>
      </c>
      <c r="F6" s="3" t="s">
        <v>32</v>
      </c>
      <c r="G6" s="8">
        <v>5001.2432432432433</v>
      </c>
      <c r="H6" s="8">
        <v>2278.6891891891892</v>
      </c>
      <c r="I6" s="8">
        <v>1162.2297297297298</v>
      </c>
    </row>
    <row r="7" spans="1:9" x14ac:dyDescent="0.3">
      <c r="A7" s="3">
        <v>1844505072</v>
      </c>
      <c r="B7" s="6">
        <v>3640.5833333333335</v>
      </c>
      <c r="C7" s="6">
        <v>1615.9166666666667</v>
      </c>
      <c r="D7" s="6">
        <v>1035.3333333333333</v>
      </c>
      <c r="F7" s="5" t="s">
        <v>34</v>
      </c>
      <c r="G7" s="8">
        <v>2771.5</v>
      </c>
      <c r="H7" s="8">
        <v>2383.5</v>
      </c>
      <c r="I7" s="8">
        <v>1098.5</v>
      </c>
    </row>
    <row r="8" spans="1:9" x14ac:dyDescent="0.3">
      <c r="A8" s="3">
        <v>1927972279</v>
      </c>
      <c r="B8" s="6">
        <v>2180.8333333333335</v>
      </c>
      <c r="C8" s="6">
        <v>2254</v>
      </c>
      <c r="D8" s="6">
        <v>952.91666666666663</v>
      </c>
      <c r="F8" s="5" t="s">
        <v>35</v>
      </c>
      <c r="G8" s="8">
        <v>1613</v>
      </c>
      <c r="H8" s="8">
        <v>2128.5</v>
      </c>
      <c r="I8" s="8">
        <v>1105.5</v>
      </c>
    </row>
    <row r="9" spans="1:9" x14ac:dyDescent="0.3">
      <c r="A9" s="3">
        <v>2022484408</v>
      </c>
      <c r="B9" s="6">
        <v>12174.916666666666</v>
      </c>
      <c r="C9" s="6">
        <v>2475.3333333333335</v>
      </c>
      <c r="D9" s="6">
        <v>1058.9166666666667</v>
      </c>
      <c r="F9" s="5" t="s">
        <v>36</v>
      </c>
      <c r="G9" s="8">
        <v>5728</v>
      </c>
      <c r="H9" s="8">
        <v>2511.5</v>
      </c>
      <c r="I9" s="8">
        <v>1136.5</v>
      </c>
    </row>
    <row r="10" spans="1:9" x14ac:dyDescent="0.3">
      <c r="A10" s="3">
        <v>2026352035</v>
      </c>
      <c r="B10" s="6">
        <v>3392.75</v>
      </c>
      <c r="C10" s="6">
        <v>1355.5</v>
      </c>
      <c r="D10" s="6">
        <v>659.16666666666663</v>
      </c>
      <c r="F10" s="5" t="s">
        <v>37</v>
      </c>
      <c r="G10" s="8">
        <v>2953</v>
      </c>
      <c r="H10" s="8">
        <v>2396</v>
      </c>
      <c r="I10" s="8">
        <v>1157</v>
      </c>
    </row>
    <row r="11" spans="1:9" x14ac:dyDescent="0.3">
      <c r="A11" s="3">
        <v>2320127002</v>
      </c>
      <c r="B11" s="6">
        <v>3138.4166666666665</v>
      </c>
      <c r="C11" s="6">
        <v>1532.0833333333333</v>
      </c>
      <c r="D11" s="6">
        <v>1249.25</v>
      </c>
      <c r="F11" s="5" t="s">
        <v>38</v>
      </c>
      <c r="G11" s="8">
        <v>7311</v>
      </c>
      <c r="H11" s="8">
        <v>2882.5</v>
      </c>
      <c r="I11" s="8">
        <v>998</v>
      </c>
    </row>
    <row r="12" spans="1:9" x14ac:dyDescent="0.3">
      <c r="A12" s="3">
        <v>2347167796</v>
      </c>
      <c r="B12" s="6">
        <v>9800.0666666666675</v>
      </c>
      <c r="C12" s="6">
        <v>2021.3333333333333</v>
      </c>
      <c r="D12" s="6">
        <v>683.86666666666667</v>
      </c>
      <c r="F12" s="5" t="s">
        <v>39</v>
      </c>
      <c r="G12" s="8">
        <v>4470</v>
      </c>
      <c r="H12" s="8">
        <v>2741</v>
      </c>
      <c r="I12" s="8">
        <v>1213</v>
      </c>
    </row>
    <row r="13" spans="1:9" x14ac:dyDescent="0.3">
      <c r="A13" s="3">
        <v>2873212765</v>
      </c>
      <c r="B13" s="6">
        <v>6636.583333333333</v>
      </c>
      <c r="C13" s="6">
        <v>1695.75</v>
      </c>
      <c r="D13" s="6">
        <v>1136.9166666666667</v>
      </c>
      <c r="F13" s="5" t="s">
        <v>40</v>
      </c>
      <c r="G13" s="8">
        <v>658.5</v>
      </c>
      <c r="H13" s="8">
        <v>1947</v>
      </c>
      <c r="I13" s="8">
        <v>1423</v>
      </c>
    </row>
    <row r="14" spans="1:9" x14ac:dyDescent="0.3">
      <c r="A14" s="3">
        <v>2891001357</v>
      </c>
      <c r="B14" s="6">
        <v>884.14285714285711</v>
      </c>
      <c r="C14" s="6">
        <v>1946.4285714285713</v>
      </c>
      <c r="D14" s="6">
        <v>1145.5714285714287</v>
      </c>
      <c r="F14" s="5" t="s">
        <v>41</v>
      </c>
      <c r="G14" s="8">
        <v>2851</v>
      </c>
      <c r="H14" s="8">
        <v>2378.5</v>
      </c>
      <c r="I14" s="8">
        <v>1440</v>
      </c>
    </row>
    <row r="15" spans="1:9" x14ac:dyDescent="0.3">
      <c r="A15" s="3">
        <v>3372868164</v>
      </c>
      <c r="B15" s="6">
        <v>6127.5</v>
      </c>
      <c r="C15" s="6">
        <v>1860.3</v>
      </c>
      <c r="D15" s="6">
        <v>1085.0999999999999</v>
      </c>
      <c r="F15" s="5" t="s">
        <v>42</v>
      </c>
      <c r="G15" s="8">
        <v>5187</v>
      </c>
      <c r="H15" s="8">
        <v>2755</v>
      </c>
      <c r="I15" s="8">
        <v>1439</v>
      </c>
    </row>
    <row r="16" spans="1:9" x14ac:dyDescent="0.3">
      <c r="A16" s="3">
        <v>3977333714</v>
      </c>
      <c r="B16" s="6">
        <v>8663.9166666666661</v>
      </c>
      <c r="C16" s="6">
        <v>1398.0833333333333</v>
      </c>
      <c r="D16" s="6">
        <v>708.75</v>
      </c>
      <c r="F16" s="5" t="s">
        <v>43</v>
      </c>
      <c r="G16" s="8">
        <v>5719</v>
      </c>
      <c r="H16" s="8">
        <v>2663</v>
      </c>
      <c r="I16" s="8">
        <v>1417</v>
      </c>
    </row>
    <row r="17" spans="1:9" x14ac:dyDescent="0.3">
      <c r="A17" s="3">
        <v>4020332650</v>
      </c>
      <c r="B17" s="6">
        <v>5776.59375</v>
      </c>
      <c r="C17" s="6">
        <v>3075.375</v>
      </c>
      <c r="D17" s="6">
        <v>1083.21875</v>
      </c>
      <c r="F17" s="5" t="s">
        <v>44</v>
      </c>
      <c r="G17" s="8">
        <v>6111.5</v>
      </c>
      <c r="H17" s="8">
        <v>2729</v>
      </c>
      <c r="I17" s="8">
        <v>1355.5</v>
      </c>
    </row>
    <row r="18" spans="1:9" x14ac:dyDescent="0.3">
      <c r="A18" s="3">
        <v>4057192912</v>
      </c>
      <c r="B18" s="6">
        <v>1887.21875</v>
      </c>
      <c r="C18" s="6">
        <v>1903.53125</v>
      </c>
      <c r="D18" s="6">
        <v>1358.0625</v>
      </c>
      <c r="F18" s="5" t="s">
        <v>45</v>
      </c>
      <c r="G18" s="8">
        <v>6774</v>
      </c>
      <c r="H18" s="8">
        <v>2812</v>
      </c>
      <c r="I18" s="8">
        <v>1338</v>
      </c>
    </row>
    <row r="19" spans="1:9" x14ac:dyDescent="0.3">
      <c r="A19" s="3">
        <v>4319703577</v>
      </c>
      <c r="B19" s="6">
        <v>7820.583333333333</v>
      </c>
      <c r="C19" s="6">
        <v>1994.25</v>
      </c>
      <c r="D19" s="6">
        <v>780.08333333333337</v>
      </c>
      <c r="F19" s="5" t="s">
        <v>46</v>
      </c>
      <c r="G19" s="8">
        <v>979</v>
      </c>
      <c r="H19" s="8">
        <v>1883.5</v>
      </c>
      <c r="I19" s="8">
        <v>1439.5</v>
      </c>
    </row>
    <row r="20" spans="1:9" x14ac:dyDescent="0.3">
      <c r="A20" s="3">
        <v>4388161847</v>
      </c>
      <c r="B20" s="6">
        <v>0</v>
      </c>
      <c r="C20" s="6">
        <v>1805.25</v>
      </c>
      <c r="D20" s="6">
        <v>1384.25</v>
      </c>
      <c r="F20" s="5" t="s">
        <v>47</v>
      </c>
      <c r="G20" s="8">
        <v>4594.25</v>
      </c>
      <c r="H20" s="8">
        <v>2162.25</v>
      </c>
      <c r="I20" s="8">
        <v>1250.75</v>
      </c>
    </row>
    <row r="21" spans="1:9" x14ac:dyDescent="0.3">
      <c r="A21" s="3">
        <v>4445114986</v>
      </c>
      <c r="B21" s="6">
        <v>4293.0666666666666</v>
      </c>
      <c r="C21" s="6">
        <v>2107.8000000000002</v>
      </c>
      <c r="D21" s="6">
        <v>861.4</v>
      </c>
      <c r="F21" s="5" t="s">
        <v>48</v>
      </c>
      <c r="G21" s="8">
        <v>5698.5</v>
      </c>
      <c r="H21" s="8">
        <v>2159.5</v>
      </c>
      <c r="I21" s="8">
        <v>1215.25</v>
      </c>
    </row>
    <row r="22" spans="1:9" x14ac:dyDescent="0.3">
      <c r="A22" s="3">
        <v>4558609924</v>
      </c>
      <c r="B22" s="6">
        <v>5785.25</v>
      </c>
      <c r="C22" s="6">
        <v>1830.1666666666667</v>
      </c>
      <c r="D22" s="6">
        <v>1085.3333333333333</v>
      </c>
      <c r="F22" s="5" t="s">
        <v>49</v>
      </c>
      <c r="G22" s="8">
        <v>6035</v>
      </c>
      <c r="H22" s="8">
        <v>2202.25</v>
      </c>
      <c r="I22" s="8">
        <v>1181.75</v>
      </c>
    </row>
    <row r="23" spans="1:9" x14ac:dyDescent="0.3">
      <c r="A23" s="3">
        <v>4702921684</v>
      </c>
      <c r="B23" s="6">
        <v>7943.4</v>
      </c>
      <c r="C23" s="6">
        <v>2821.4666666666667</v>
      </c>
      <c r="D23" s="6">
        <v>726.73333333333335</v>
      </c>
      <c r="F23" s="5" t="s">
        <v>50</v>
      </c>
      <c r="G23" s="8">
        <v>4312.5</v>
      </c>
      <c r="H23" s="8">
        <v>2265.5</v>
      </c>
      <c r="I23" s="8">
        <v>1288.25</v>
      </c>
    </row>
    <row r="24" spans="1:9" x14ac:dyDescent="0.3">
      <c r="A24" s="3">
        <v>5553957443</v>
      </c>
      <c r="B24" s="6">
        <v>8354.75</v>
      </c>
      <c r="C24" s="6">
        <v>1802.5</v>
      </c>
      <c r="D24" s="6">
        <v>607.75</v>
      </c>
      <c r="F24" s="5" t="s">
        <v>51</v>
      </c>
      <c r="G24" s="8">
        <v>4760.6000000000004</v>
      </c>
      <c r="H24" s="8">
        <v>2114.8000000000002</v>
      </c>
      <c r="I24" s="8">
        <v>1050</v>
      </c>
    </row>
    <row r="25" spans="1:9" x14ac:dyDescent="0.3">
      <c r="A25" s="3">
        <v>5577150313</v>
      </c>
      <c r="B25" s="6">
        <v>8608.181818181818</v>
      </c>
      <c r="C25" s="6">
        <v>3300.2727272727275</v>
      </c>
      <c r="D25" s="6">
        <v>665.81818181818187</v>
      </c>
      <c r="F25" s="5" t="s">
        <v>52</v>
      </c>
      <c r="G25" s="8">
        <v>6246.727272727273</v>
      </c>
      <c r="H25" s="8">
        <v>2193.3636363636365</v>
      </c>
      <c r="I25" s="8">
        <v>1043.3636363636363</v>
      </c>
    </row>
    <row r="26" spans="1:9" x14ac:dyDescent="0.3">
      <c r="A26" s="3">
        <v>6117666160</v>
      </c>
      <c r="B26" s="6">
        <v>8248.6</v>
      </c>
      <c r="C26" s="6">
        <v>2099.3000000000002</v>
      </c>
      <c r="D26" s="6">
        <v>864.1</v>
      </c>
      <c r="F26" s="5" t="s">
        <v>53</v>
      </c>
      <c r="G26" s="8">
        <v>5905.272727272727</v>
      </c>
      <c r="H26" s="8">
        <v>2160.7272727272725</v>
      </c>
      <c r="I26" s="8">
        <v>1014.8181818181819</v>
      </c>
    </row>
    <row r="27" spans="1:9" x14ac:dyDescent="0.3">
      <c r="A27" s="3">
        <v>6290855005</v>
      </c>
      <c r="B27" s="6">
        <v>1618.1</v>
      </c>
      <c r="C27" s="6">
        <v>2165.6</v>
      </c>
      <c r="D27" s="6">
        <v>1289.5999999999999</v>
      </c>
      <c r="F27" s="3" t="s">
        <v>33</v>
      </c>
      <c r="G27" s="8">
        <v>6863.0549738219897</v>
      </c>
      <c r="H27" s="8">
        <v>2165.9554973821992</v>
      </c>
      <c r="I27" s="8">
        <v>963.50523560209422</v>
      </c>
    </row>
    <row r="28" spans="1:9" x14ac:dyDescent="0.3">
      <c r="A28" s="3">
        <v>6391747486</v>
      </c>
      <c r="B28" s="6">
        <v>1336.8888888888889</v>
      </c>
      <c r="C28" s="6">
        <v>1763.1111111111111</v>
      </c>
      <c r="D28" s="6">
        <v>1261.8888888888889</v>
      </c>
      <c r="F28" s="3" t="s">
        <v>17</v>
      </c>
      <c r="G28" s="6">
        <v>6560.9188596491231</v>
      </c>
      <c r="H28" s="6">
        <v>2184.25</v>
      </c>
      <c r="I28" s="6">
        <v>995.75438596491233</v>
      </c>
    </row>
    <row r="29" spans="1:9" x14ac:dyDescent="0.3">
      <c r="A29" s="3">
        <v>6775888955</v>
      </c>
      <c r="B29" s="6">
        <v>5559</v>
      </c>
      <c r="C29" s="6">
        <v>2724.7777777777778</v>
      </c>
      <c r="D29" s="6">
        <v>1017.8888888888889</v>
      </c>
    </row>
    <row r="30" spans="1:9" x14ac:dyDescent="0.3">
      <c r="A30" s="3">
        <v>6962181067</v>
      </c>
      <c r="B30" s="6">
        <v>12639.714285714286</v>
      </c>
      <c r="C30" s="6">
        <v>2089.2142857142858</v>
      </c>
      <c r="D30" s="6">
        <v>606.28571428571433</v>
      </c>
    </row>
    <row r="31" spans="1:9" x14ac:dyDescent="0.3">
      <c r="A31" s="3">
        <v>7007744171</v>
      </c>
      <c r="B31" s="6">
        <v>12260.333333333334</v>
      </c>
      <c r="C31" s="6">
        <v>2627.0833333333335</v>
      </c>
      <c r="D31" s="6">
        <v>1000.6666666666666</v>
      </c>
    </row>
    <row r="32" spans="1:9" x14ac:dyDescent="0.3">
      <c r="A32" s="3">
        <v>7086361926</v>
      </c>
      <c r="B32" s="6">
        <v>6103.916666666667</v>
      </c>
      <c r="C32" s="6">
        <v>2177</v>
      </c>
      <c r="D32" s="6">
        <v>888.83333333333337</v>
      </c>
    </row>
    <row r="33" spans="1:4" x14ac:dyDescent="0.3">
      <c r="A33" s="3">
        <v>8053475328</v>
      </c>
      <c r="B33" s="6">
        <v>14844.363636363636</v>
      </c>
      <c r="C33" s="6">
        <v>2893.181818181818</v>
      </c>
      <c r="D33" s="6">
        <v>1114.4545454545455</v>
      </c>
    </row>
    <row r="34" spans="1:4" x14ac:dyDescent="0.3">
      <c r="A34" s="3">
        <v>8253242879</v>
      </c>
      <c r="B34" s="6">
        <v>2389.9166666666665</v>
      </c>
      <c r="C34" s="6">
        <v>1463</v>
      </c>
      <c r="D34" s="6">
        <v>1352.3333333333333</v>
      </c>
    </row>
    <row r="35" spans="1:4" x14ac:dyDescent="0.3">
      <c r="A35" s="3">
        <v>8378563200</v>
      </c>
      <c r="B35" s="6">
        <v>8135.25</v>
      </c>
      <c r="C35" s="6">
        <v>3356.1666666666665</v>
      </c>
      <c r="D35" s="6">
        <v>684.16666666666663</v>
      </c>
    </row>
    <row r="36" spans="1:4" x14ac:dyDescent="0.3">
      <c r="A36" s="3">
        <v>8583815059</v>
      </c>
      <c r="B36" s="6">
        <v>3045.5</v>
      </c>
      <c r="C36" s="6">
        <v>2391.25</v>
      </c>
      <c r="D36" s="6">
        <v>1261.75</v>
      </c>
    </row>
    <row r="37" spans="1:4" x14ac:dyDescent="0.3">
      <c r="A37" s="3">
        <v>8792009665</v>
      </c>
      <c r="B37" s="6">
        <v>3094.9166666666665</v>
      </c>
      <c r="C37" s="6">
        <v>2073.6666666666665</v>
      </c>
      <c r="D37" s="6">
        <v>893.58333333333337</v>
      </c>
    </row>
    <row r="38" spans="1:4" x14ac:dyDescent="0.3">
      <c r="A38" s="3">
        <v>8877689391</v>
      </c>
      <c r="B38" s="6">
        <v>17417.083333333332</v>
      </c>
      <c r="C38" s="6">
        <v>3451.1666666666665</v>
      </c>
      <c r="D38" s="6">
        <v>1046.1666666666667</v>
      </c>
    </row>
    <row r="39" spans="1:4" x14ac:dyDescent="0.3">
      <c r="A39" s="3" t="s">
        <v>17</v>
      </c>
      <c r="B39" s="6">
        <v>6560.9188596491231</v>
      </c>
      <c r="C39" s="6">
        <v>2184.25</v>
      </c>
      <c r="D39" s="6">
        <v>995.75438596491233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3B7C-842D-4540-9A5A-7E2DC9312564}">
  <dimension ref="A1:P36"/>
  <sheetViews>
    <sheetView workbookViewId="0">
      <selection activeCell="C9" sqref="C9"/>
    </sheetView>
  </sheetViews>
  <sheetFormatPr defaultRowHeight="14.4" x14ac:dyDescent="0.3"/>
  <cols>
    <col min="1" max="1" width="12.44140625" bestFit="1" customWidth="1"/>
    <col min="2" max="2" width="18.88671875" bestFit="1" customWidth="1"/>
    <col min="13" max="13" width="11.109375" bestFit="1" customWidth="1"/>
    <col min="14" max="14" width="18.88671875" bestFit="1" customWidth="1"/>
    <col min="15" max="15" width="16.77734375" bestFit="1" customWidth="1"/>
    <col min="16" max="16" width="25.109375" bestFit="1" customWidth="1"/>
  </cols>
  <sheetData>
    <row r="1" spans="1:16" x14ac:dyDescent="0.3">
      <c r="A1" s="2" t="s">
        <v>15</v>
      </c>
      <c r="B1" t="s">
        <v>23</v>
      </c>
    </row>
    <row r="2" spans="1:16" x14ac:dyDescent="0.3">
      <c r="M2" s="2" t="s">
        <v>15</v>
      </c>
      <c r="N2" t="s">
        <v>23</v>
      </c>
    </row>
    <row r="3" spans="1:16" x14ac:dyDescent="0.3">
      <c r="A3" s="2" t="s">
        <v>16</v>
      </c>
      <c r="B3" t="s">
        <v>19</v>
      </c>
    </row>
    <row r="4" spans="1:16" x14ac:dyDescent="0.3">
      <c r="A4" s="4">
        <v>42441</v>
      </c>
      <c r="B4" s="8">
        <v>2771.5</v>
      </c>
      <c r="M4" s="2" t="s">
        <v>31</v>
      </c>
      <c r="N4" t="s">
        <v>19</v>
      </c>
      <c r="O4" t="s">
        <v>20</v>
      </c>
      <c r="P4" t="s">
        <v>21</v>
      </c>
    </row>
    <row r="5" spans="1:16" x14ac:dyDescent="0.3">
      <c r="A5" s="4">
        <v>42442</v>
      </c>
      <c r="B5" s="8">
        <v>1613</v>
      </c>
      <c r="M5" s="3" t="s">
        <v>25</v>
      </c>
      <c r="N5" s="6">
        <v>6549.7378640776697</v>
      </c>
      <c r="O5" s="6">
        <v>2165.4757281553398</v>
      </c>
      <c r="P5" s="6">
        <v>995.76051779935278</v>
      </c>
    </row>
    <row r="6" spans="1:16" x14ac:dyDescent="0.3">
      <c r="A6" s="4">
        <v>42443</v>
      </c>
      <c r="B6" s="8">
        <v>5728</v>
      </c>
      <c r="M6" s="3" t="s">
        <v>24</v>
      </c>
      <c r="N6" s="6">
        <v>6584.4217687074834</v>
      </c>
      <c r="O6" s="6">
        <v>2223.7142857142858</v>
      </c>
      <c r="P6" s="6">
        <v>995.7414965986394</v>
      </c>
    </row>
    <row r="7" spans="1:16" x14ac:dyDescent="0.3">
      <c r="A7" s="4">
        <v>42444</v>
      </c>
      <c r="B7" s="8">
        <v>2953</v>
      </c>
      <c r="M7" s="3" t="s">
        <v>17</v>
      </c>
      <c r="N7" s="6">
        <v>6560.9188596491231</v>
      </c>
      <c r="O7" s="6">
        <v>2184.25</v>
      </c>
      <c r="P7" s="6">
        <v>995.75438596491233</v>
      </c>
    </row>
    <row r="8" spans="1:16" x14ac:dyDescent="0.3">
      <c r="A8" s="4">
        <v>42445</v>
      </c>
      <c r="B8" s="8">
        <v>7311</v>
      </c>
    </row>
    <row r="9" spans="1:16" x14ac:dyDescent="0.3">
      <c r="A9" s="4">
        <v>42446</v>
      </c>
      <c r="B9" s="8">
        <v>4470</v>
      </c>
    </row>
    <row r="10" spans="1:16" x14ac:dyDescent="0.3">
      <c r="A10" s="4">
        <v>42447</v>
      </c>
      <c r="B10" s="8">
        <v>658.5</v>
      </c>
    </row>
    <row r="11" spans="1:16" x14ac:dyDescent="0.3">
      <c r="A11" s="4">
        <v>42448</v>
      </c>
      <c r="B11" s="8">
        <v>2851</v>
      </c>
    </row>
    <row r="12" spans="1:16" x14ac:dyDescent="0.3">
      <c r="A12" s="4">
        <v>42449</v>
      </c>
      <c r="B12" s="8">
        <v>5187</v>
      </c>
    </row>
    <row r="13" spans="1:16" x14ac:dyDescent="0.3">
      <c r="A13" s="4">
        <v>42450</v>
      </c>
      <c r="B13" s="8">
        <v>5719</v>
      </c>
    </row>
    <row r="14" spans="1:16" x14ac:dyDescent="0.3">
      <c r="A14" s="4">
        <v>42451</v>
      </c>
      <c r="B14" s="8">
        <v>6111.5</v>
      </c>
    </row>
    <row r="15" spans="1:16" x14ac:dyDescent="0.3">
      <c r="A15" s="4">
        <v>42452</v>
      </c>
      <c r="B15" s="8">
        <v>6774</v>
      </c>
    </row>
    <row r="16" spans="1:16" x14ac:dyDescent="0.3">
      <c r="A16" s="4">
        <v>42453</v>
      </c>
      <c r="B16" s="8">
        <v>979</v>
      </c>
    </row>
    <row r="17" spans="1:2" x14ac:dyDescent="0.3">
      <c r="A17" s="4">
        <v>42454</v>
      </c>
      <c r="B17" s="8">
        <v>4594.25</v>
      </c>
    </row>
    <row r="18" spans="1:2" x14ac:dyDescent="0.3">
      <c r="A18" s="4">
        <v>42455</v>
      </c>
      <c r="B18" s="8">
        <v>5698.5</v>
      </c>
    </row>
    <row r="19" spans="1:2" x14ac:dyDescent="0.3">
      <c r="A19" s="4">
        <v>42456</v>
      </c>
      <c r="B19" s="8">
        <v>6035</v>
      </c>
    </row>
    <row r="20" spans="1:2" x14ac:dyDescent="0.3">
      <c r="A20" s="4">
        <v>42457</v>
      </c>
      <c r="B20" s="8">
        <v>4312.5</v>
      </c>
    </row>
    <row r="21" spans="1:2" x14ac:dyDescent="0.3">
      <c r="A21" s="4">
        <v>42458</v>
      </c>
      <c r="B21" s="8">
        <v>4760.6000000000004</v>
      </c>
    </row>
    <row r="22" spans="1:2" x14ac:dyDescent="0.3">
      <c r="A22" s="4">
        <v>42459</v>
      </c>
      <c r="B22" s="8">
        <v>6246.727272727273</v>
      </c>
    </row>
    <row r="23" spans="1:2" x14ac:dyDescent="0.3">
      <c r="A23" s="4">
        <v>42460</v>
      </c>
      <c r="B23" s="8">
        <v>5905.272727272727</v>
      </c>
    </row>
    <row r="24" spans="1:2" x14ac:dyDescent="0.3">
      <c r="A24" s="4">
        <v>42461</v>
      </c>
      <c r="B24" s="8">
        <v>6693.424242424242</v>
      </c>
    </row>
    <row r="25" spans="1:2" x14ac:dyDescent="0.3">
      <c r="A25" s="4">
        <v>42462</v>
      </c>
      <c r="B25" s="8">
        <v>7345.9428571428571</v>
      </c>
    </row>
    <row r="26" spans="1:2" x14ac:dyDescent="0.3">
      <c r="A26" s="4">
        <v>42463</v>
      </c>
      <c r="B26" s="8">
        <v>6178.2285714285717</v>
      </c>
    </row>
    <row r="27" spans="1:2" x14ac:dyDescent="0.3">
      <c r="A27" s="4">
        <v>42464</v>
      </c>
      <c r="B27" s="8">
        <v>7345.3142857142857</v>
      </c>
    </row>
    <row r="28" spans="1:2" x14ac:dyDescent="0.3">
      <c r="A28" s="4">
        <v>42465</v>
      </c>
      <c r="B28" s="8">
        <v>7165</v>
      </c>
    </row>
    <row r="29" spans="1:2" x14ac:dyDescent="0.3">
      <c r="A29" s="4">
        <v>42466</v>
      </c>
      <c r="B29" s="8">
        <v>7988.787878787879</v>
      </c>
    </row>
    <row r="30" spans="1:2" x14ac:dyDescent="0.3">
      <c r="A30" s="4">
        <v>42467</v>
      </c>
      <c r="B30" s="8">
        <v>7660.727272727273</v>
      </c>
    </row>
    <row r="31" spans="1:2" x14ac:dyDescent="0.3">
      <c r="A31" s="4">
        <v>42468</v>
      </c>
      <c r="B31" s="8">
        <v>7614.090909090909</v>
      </c>
    </row>
    <row r="32" spans="1:2" x14ac:dyDescent="0.3">
      <c r="A32" s="4">
        <v>42469</v>
      </c>
      <c r="B32" s="8">
        <v>7518.3125</v>
      </c>
    </row>
    <row r="33" spans="1:2" x14ac:dyDescent="0.3">
      <c r="A33" s="4">
        <v>42470</v>
      </c>
      <c r="B33" s="8">
        <v>6282.7241379310344</v>
      </c>
    </row>
    <row r="34" spans="1:2" x14ac:dyDescent="0.3">
      <c r="A34" s="4">
        <v>42471</v>
      </c>
      <c r="B34" s="8">
        <v>7473.36</v>
      </c>
    </row>
    <row r="35" spans="1:2" x14ac:dyDescent="0.3">
      <c r="A35" s="4">
        <v>42472</v>
      </c>
      <c r="B35" s="8">
        <v>1761.625</v>
      </c>
    </row>
    <row r="36" spans="1:2" x14ac:dyDescent="0.3">
      <c r="A36" s="4" t="s">
        <v>17</v>
      </c>
      <c r="B36" s="8">
        <v>6560.9188596491231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FC85-1C34-480B-B2C5-832287536D28}">
  <dimension ref="A1:D8"/>
  <sheetViews>
    <sheetView topLeftCell="A3" workbookViewId="0">
      <selection activeCell="I15" sqref="I15"/>
    </sheetView>
  </sheetViews>
  <sheetFormatPr defaultRowHeight="14.4" x14ac:dyDescent="0.3"/>
  <cols>
    <col min="1" max="1" width="25.6640625" bestFit="1" customWidth="1"/>
    <col min="2" max="2" width="26.6640625" bestFit="1" customWidth="1"/>
    <col min="3" max="3" width="27.44140625" bestFit="1" customWidth="1"/>
    <col min="4" max="4" width="25.109375" bestFit="1" customWidth="1"/>
    <col min="5" max="5" width="12" bestFit="1" customWidth="1"/>
    <col min="6" max="6" width="22.33203125" bestFit="1" customWidth="1"/>
  </cols>
  <sheetData>
    <row r="1" spans="1:4" x14ac:dyDescent="0.3">
      <c r="A1" s="2" t="s">
        <v>15</v>
      </c>
      <c r="B1" t="s">
        <v>23</v>
      </c>
    </row>
    <row r="3" spans="1:4" x14ac:dyDescent="0.3">
      <c r="A3" t="s">
        <v>27</v>
      </c>
      <c r="B3" t="s">
        <v>28</v>
      </c>
      <c r="C3" t="s">
        <v>29</v>
      </c>
      <c r="D3" t="s">
        <v>21</v>
      </c>
    </row>
    <row r="4" spans="1:4" x14ac:dyDescent="0.3">
      <c r="A4" s="6">
        <v>16.660087719298247</v>
      </c>
      <c r="B4" s="6">
        <v>11.651315789473685</v>
      </c>
      <c r="C4" s="6">
        <v>170.44298245614036</v>
      </c>
      <c r="D4" s="6">
        <v>995.75438596491233</v>
      </c>
    </row>
    <row r="8" spans="1:4" x14ac:dyDescent="0.3">
      <c r="B8" s="6">
        <f>SUM(A4:C4)</f>
        <v>198.75438596491227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B88E-04E4-47C2-8DFF-D7EC310049BE}">
  <dimension ref="A4:B5"/>
  <sheetViews>
    <sheetView workbookViewId="0">
      <selection activeCell="L19" sqref="L19"/>
    </sheetView>
  </sheetViews>
  <sheetFormatPr defaultRowHeight="14.4" x14ac:dyDescent="0.3"/>
  <cols>
    <col min="1" max="1" width="16" bestFit="1" customWidth="1"/>
    <col min="2" max="2" width="14" bestFit="1" customWidth="1"/>
    <col min="3" max="4" width="25.109375" bestFit="1" customWidth="1"/>
  </cols>
  <sheetData>
    <row r="4" spans="1:2" x14ac:dyDescent="0.3">
      <c r="A4" t="s">
        <v>22</v>
      </c>
      <c r="B4" t="s">
        <v>18</v>
      </c>
    </row>
    <row r="5" spans="1:2" x14ac:dyDescent="0.3">
      <c r="A5" s="8">
        <v>2991779</v>
      </c>
      <c r="B5" s="8">
        <v>1000580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AB95-F926-4882-8D83-25FD5D721253}">
  <dimension ref="A1"/>
  <sheetViews>
    <sheetView showGridLines="0" zoomScale="90" zoomScaleNormal="90" workbookViewId="0">
      <selection activeCell="S14" sqref="S14"/>
    </sheetView>
  </sheetViews>
  <sheetFormatPr defaultRowHeight="14.4" x14ac:dyDescent="0.3"/>
  <cols>
    <col min="1" max="16384" width="8.88671875" style="7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dailyActivity_merged</vt:lpstr>
      <vt:lpstr>PT_DailyActivity</vt:lpstr>
      <vt:lpstr>Weekdays vs Weekends</vt:lpstr>
      <vt:lpstr>Activity_Intensity</vt:lpstr>
      <vt:lpstr>Steps vs Calories</vt:lpstr>
      <vt:lpstr>Dashboard</vt:lpstr>
      <vt:lpstr>ActiveMinutes</vt:lpstr>
      <vt:lpstr>AvgActiveMinutes</vt:lpstr>
      <vt:lpstr>AvgCaloriesBurned</vt:lpstr>
      <vt:lpstr>AvgDailySteps</vt:lpstr>
      <vt:lpstr>AvgSedentaryMinutes</vt:lpstr>
      <vt:lpstr>caloriesBurned</vt:lpstr>
      <vt:lpstr>DailySteps</vt:lpstr>
      <vt:lpstr>SedentaryMinutes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Sodiq Mustapha</cp:lastModifiedBy>
  <dcterms:created xsi:type="dcterms:W3CDTF">2026-02-02T09:42:06Z</dcterms:created>
  <dcterms:modified xsi:type="dcterms:W3CDTF">2026-02-19T09:33:04Z</dcterms:modified>
</cp:coreProperties>
</file>